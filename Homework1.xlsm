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Alexe\OneDrive\Рабочий стол\"/>
    </mc:Choice>
  </mc:AlternateContent>
  <bookViews>
    <workbookView xWindow="0" yWindow="0" windowWidth="20490" windowHeight="7050" activeTab="1"/>
  </bookViews>
  <sheets>
    <sheet name="ГУ 1 рода" sheetId="1" r:id="rId1"/>
    <sheet name="ГУ 2 рода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2" l="1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F13" i="2"/>
  <c r="G16" i="2" s="1"/>
  <c r="F16" i="2"/>
  <c r="H12" i="2"/>
  <c r="I12" i="2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G12" i="2"/>
  <c r="C5" i="2"/>
  <c r="G15" i="2" l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5" i="1"/>
</calcChain>
</file>

<file path=xl/sharedStrings.xml><?xml version="1.0" encoding="utf-8"?>
<sst xmlns="http://schemas.openxmlformats.org/spreadsheetml/2006/main" count="25" uniqueCount="13">
  <si>
    <t>L</t>
  </si>
  <si>
    <t>dx</t>
  </si>
  <si>
    <t>dt</t>
  </si>
  <si>
    <t>t</t>
  </si>
  <si>
    <t>Cp</t>
  </si>
  <si>
    <t>ro</t>
  </si>
  <si>
    <t>lamda</t>
  </si>
  <si>
    <t>T_start</t>
  </si>
  <si>
    <t>T_end</t>
  </si>
  <si>
    <t>T</t>
  </si>
  <si>
    <t>T_iter</t>
  </si>
  <si>
    <t>q</t>
  </si>
  <si>
    <t>q_start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</si>
</sst>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1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3.333E-3</c:v>
                </c:pt>
                <c:pt idx="2">
                  <c:v>6.6660000000000001E-3</c:v>
                </c:pt>
                <c:pt idx="3">
                  <c:v>9.9990000000000009E-3</c:v>
                </c:pt>
                <c:pt idx="4">
                  <c:v>1.3332E-2</c:v>
                </c:pt>
                <c:pt idx="5">
                  <c:v>1.6664999999999999E-2</c:v>
                </c:pt>
                <c:pt idx="6">
                  <c:v>1.9997999999999998E-2</c:v>
                </c:pt>
                <c:pt idx="7">
                  <c:v>2.3330999999999998E-2</c:v>
                </c:pt>
                <c:pt idx="8">
                  <c:v>2.6663999999999997E-2</c:v>
                </c:pt>
                <c:pt idx="9">
                  <c:v>2.9996999999999996E-2</c:v>
                </c:pt>
                <c:pt idx="10">
                  <c:v>3.3329999999999999E-2</c:v>
                </c:pt>
                <c:pt idx="11">
                  <c:v>3.6663000000000001E-2</c:v>
                </c:pt>
                <c:pt idx="12">
                  <c:v>3.9996000000000004E-2</c:v>
                </c:pt>
                <c:pt idx="13">
                  <c:v>4.3329000000000006E-2</c:v>
                </c:pt>
                <c:pt idx="14">
                  <c:v>4.6662000000000009E-2</c:v>
                </c:pt>
                <c:pt idx="15">
                  <c:v>4.9995000000000012E-2</c:v>
                </c:pt>
                <c:pt idx="16">
                  <c:v>5.3328000000000014E-2</c:v>
                </c:pt>
                <c:pt idx="17">
                  <c:v>5.6661000000000017E-2</c:v>
                </c:pt>
                <c:pt idx="18">
                  <c:v>5.999400000000002E-2</c:v>
                </c:pt>
                <c:pt idx="19">
                  <c:v>6.3327000000000022E-2</c:v>
                </c:pt>
                <c:pt idx="20">
                  <c:v>6.6660000000000025E-2</c:v>
                </c:pt>
                <c:pt idx="21">
                  <c:v>6.9993000000000027E-2</c:v>
                </c:pt>
                <c:pt idx="22">
                  <c:v>7.332600000000003E-2</c:v>
                </c:pt>
                <c:pt idx="23">
                  <c:v>7.6659000000000033E-2</c:v>
                </c:pt>
                <c:pt idx="24">
                  <c:v>7.9992000000000035E-2</c:v>
                </c:pt>
                <c:pt idx="25">
                  <c:v>8.3325000000000038E-2</c:v>
                </c:pt>
                <c:pt idx="26">
                  <c:v>8.6658000000000041E-2</c:v>
                </c:pt>
                <c:pt idx="27">
                  <c:v>8.9991000000000043E-2</c:v>
                </c:pt>
                <c:pt idx="28">
                  <c:v>9.3324000000000046E-2</c:v>
                </c:pt>
                <c:pt idx="29">
                  <c:v>9.6657000000000048E-2</c:v>
                </c:pt>
                <c:pt idx="30">
                  <c:v>9.9990000000000051E-2</c:v>
                </c:pt>
              </c:numCache>
            </c:numRef>
          </c:xVal>
          <c:yVal>
            <c:numRef>
              <c:f>'ГУ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286.64643763157392</c:v>
                </c:pt>
                <c:pt idx="3">
                  <c:v>279.96976818142753</c:v>
                </c:pt>
                <c:pt idx="4">
                  <c:v>273.29375936905114</c:v>
                </c:pt>
                <c:pt idx="5">
                  <c:v>266.61775055667476</c:v>
                </c:pt>
                <c:pt idx="6">
                  <c:v>259.94281067866456</c:v>
                </c:pt>
                <c:pt idx="7">
                  <c:v>253.26787080065432</c:v>
                </c:pt>
                <c:pt idx="8">
                  <c:v>246.59436143604526</c:v>
                </c:pt>
                <c:pt idx="9">
                  <c:v>239.9208520714362</c:v>
                </c:pt>
                <c:pt idx="10">
                  <c:v>233.2490722789633</c:v>
                </c:pt>
                <c:pt idx="11">
                  <c:v>226.57729248649036</c:v>
                </c:pt>
                <c:pt idx="12">
                  <c:v>219.9074657342868</c:v>
                </c:pt>
                <c:pt idx="13">
                  <c:v>213.23763898208321</c:v>
                </c:pt>
                <c:pt idx="14">
                  <c:v>206.56990338105072</c:v>
                </c:pt>
                <c:pt idx="15">
                  <c:v>199.9021677800182</c:v>
                </c:pt>
                <c:pt idx="16">
                  <c:v>193.23657004771786</c:v>
                </c:pt>
                <c:pt idx="17">
                  <c:v>186.57097231541749</c:v>
                </c:pt>
                <c:pt idx="18">
                  <c:v>179.90746573428811</c:v>
                </c:pt>
                <c:pt idx="19">
                  <c:v>173.24395915315873</c:v>
                </c:pt>
                <c:pt idx="20">
                  <c:v>166.58240561229854</c:v>
                </c:pt>
                <c:pt idx="21">
                  <c:v>159.92085207143839</c:v>
                </c:pt>
                <c:pt idx="22">
                  <c:v>153.26102810271419</c:v>
                </c:pt>
                <c:pt idx="23">
                  <c:v>146.60120413398997</c:v>
                </c:pt>
                <c:pt idx="24">
                  <c:v>139.94281067866672</c:v>
                </c:pt>
                <c:pt idx="25">
                  <c:v>133.28441722334344</c:v>
                </c:pt>
                <c:pt idx="26">
                  <c:v>126.62709270238616</c:v>
                </c:pt>
                <c:pt idx="27">
                  <c:v>119.96976818142888</c:v>
                </c:pt>
                <c:pt idx="28">
                  <c:v>113.31310429824151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B1-4E10-960B-B2076F37D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97040"/>
        <c:axId val="212898680"/>
      </c:scatterChart>
      <c:valAx>
        <c:axId val="21289704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2898680"/>
        <c:crosses val="autoZero"/>
        <c:crossBetween val="midCat"/>
      </c:valAx>
      <c:valAx>
        <c:axId val="212898680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2897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1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3.333E-3</c:v>
                </c:pt>
                <c:pt idx="2">
                  <c:v>6.6660000000000001E-3</c:v>
                </c:pt>
                <c:pt idx="3">
                  <c:v>9.9990000000000009E-3</c:v>
                </c:pt>
                <c:pt idx="4">
                  <c:v>1.3332E-2</c:v>
                </c:pt>
                <c:pt idx="5">
                  <c:v>1.6664999999999999E-2</c:v>
                </c:pt>
                <c:pt idx="6">
                  <c:v>1.9997999999999998E-2</c:v>
                </c:pt>
                <c:pt idx="7">
                  <c:v>2.3330999999999998E-2</c:v>
                </c:pt>
                <c:pt idx="8">
                  <c:v>2.6663999999999997E-2</c:v>
                </c:pt>
                <c:pt idx="9">
                  <c:v>2.9996999999999996E-2</c:v>
                </c:pt>
                <c:pt idx="10">
                  <c:v>3.3329999999999999E-2</c:v>
                </c:pt>
                <c:pt idx="11">
                  <c:v>3.6663000000000001E-2</c:v>
                </c:pt>
                <c:pt idx="12">
                  <c:v>3.9996000000000004E-2</c:v>
                </c:pt>
                <c:pt idx="13">
                  <c:v>4.3329000000000006E-2</c:v>
                </c:pt>
                <c:pt idx="14">
                  <c:v>4.6662000000000009E-2</c:v>
                </c:pt>
                <c:pt idx="15">
                  <c:v>4.9995000000000012E-2</c:v>
                </c:pt>
                <c:pt idx="16">
                  <c:v>5.3328000000000014E-2</c:v>
                </c:pt>
                <c:pt idx="17">
                  <c:v>5.6661000000000017E-2</c:v>
                </c:pt>
                <c:pt idx="18">
                  <c:v>5.999400000000002E-2</c:v>
                </c:pt>
                <c:pt idx="19">
                  <c:v>6.3327000000000022E-2</c:v>
                </c:pt>
                <c:pt idx="20">
                  <c:v>6.6660000000000025E-2</c:v>
                </c:pt>
                <c:pt idx="21">
                  <c:v>6.9993000000000027E-2</c:v>
                </c:pt>
                <c:pt idx="22">
                  <c:v>7.332600000000003E-2</c:v>
                </c:pt>
                <c:pt idx="23">
                  <c:v>7.6659000000000033E-2</c:v>
                </c:pt>
                <c:pt idx="24">
                  <c:v>7.9992000000000035E-2</c:v>
                </c:pt>
                <c:pt idx="25">
                  <c:v>8.3325000000000038E-2</c:v>
                </c:pt>
                <c:pt idx="26">
                  <c:v>8.6658000000000041E-2</c:v>
                </c:pt>
                <c:pt idx="27">
                  <c:v>8.9991000000000043E-2</c:v>
                </c:pt>
                <c:pt idx="28">
                  <c:v>9.3324000000000046E-2</c:v>
                </c:pt>
                <c:pt idx="29">
                  <c:v>9.6657000000000048E-2</c:v>
                </c:pt>
                <c:pt idx="30">
                  <c:v>9.9990000000000051E-2</c:v>
                </c:pt>
              </c:numCache>
            </c:numRef>
          </c:xVal>
          <c:yVal>
            <c:numRef>
              <c:f>'ГУ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286.64643763157392</c:v>
                </c:pt>
                <c:pt idx="3">
                  <c:v>279.96976818142753</c:v>
                </c:pt>
                <c:pt idx="4">
                  <c:v>273.29375936905114</c:v>
                </c:pt>
                <c:pt idx="5">
                  <c:v>266.61775055667476</c:v>
                </c:pt>
                <c:pt idx="6">
                  <c:v>259.94281067866456</c:v>
                </c:pt>
                <c:pt idx="7">
                  <c:v>253.26787080065432</c:v>
                </c:pt>
                <c:pt idx="8">
                  <c:v>246.59436143604526</c:v>
                </c:pt>
                <c:pt idx="9">
                  <c:v>239.9208520714362</c:v>
                </c:pt>
                <c:pt idx="10">
                  <c:v>233.2490722789633</c:v>
                </c:pt>
                <c:pt idx="11">
                  <c:v>226.57729248649036</c:v>
                </c:pt>
                <c:pt idx="12">
                  <c:v>219.9074657342868</c:v>
                </c:pt>
                <c:pt idx="13">
                  <c:v>213.23763898208321</c:v>
                </c:pt>
                <c:pt idx="14">
                  <c:v>206.56990338105072</c:v>
                </c:pt>
                <c:pt idx="15">
                  <c:v>199.9021677800182</c:v>
                </c:pt>
                <c:pt idx="16">
                  <c:v>193.23657004771786</c:v>
                </c:pt>
                <c:pt idx="17">
                  <c:v>186.57097231541749</c:v>
                </c:pt>
                <c:pt idx="18">
                  <c:v>179.90746573428811</c:v>
                </c:pt>
                <c:pt idx="19">
                  <c:v>173.24395915315873</c:v>
                </c:pt>
                <c:pt idx="20">
                  <c:v>166.58240561229854</c:v>
                </c:pt>
                <c:pt idx="21">
                  <c:v>159.92085207143839</c:v>
                </c:pt>
                <c:pt idx="22">
                  <c:v>153.26102810271419</c:v>
                </c:pt>
                <c:pt idx="23">
                  <c:v>146.60120413398997</c:v>
                </c:pt>
                <c:pt idx="24">
                  <c:v>139.94281067866672</c:v>
                </c:pt>
                <c:pt idx="25">
                  <c:v>133.28441722334344</c:v>
                </c:pt>
                <c:pt idx="26">
                  <c:v>126.62709270238616</c:v>
                </c:pt>
                <c:pt idx="27">
                  <c:v>119.96976818142888</c:v>
                </c:pt>
                <c:pt idx="28">
                  <c:v>113.31310429824151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3A-4C64-A1DE-96CBCE4E2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97040"/>
        <c:axId val="212898680"/>
      </c:scatterChart>
      <c:valAx>
        <c:axId val="21289704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2898680"/>
        <c:crosses val="autoZero"/>
        <c:crossBetween val="midCat"/>
      </c:valAx>
      <c:valAx>
        <c:axId val="212898680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2897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462642</xdr:colOff>
      <xdr:row>16</xdr:row>
      <xdr:rowOff>16329</xdr:rowOff>
    </xdr:from>
    <xdr:to>
      <xdr:col>16</xdr:col>
      <xdr:colOff>272142</xdr:colOff>
      <xdr:row>30</xdr:row>
      <xdr:rowOff>92529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59871</xdr:colOff>
      <xdr:row>16</xdr:row>
      <xdr:rowOff>5442</xdr:rowOff>
    </xdr:from>
    <xdr:ext cx="522900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4550228" y="3053442"/>
              <a:ext cx="52290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GB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GB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GB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4550228" y="3053442"/>
              <a:ext cx="52290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600" b="1" i="0">
                  <a:latin typeface="Cambria Math" panose="02040503050406030204" pitchFamily="18" charset="0"/>
                </a:rPr>
                <a:t>𝑻,[𝑪]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15</xdr:col>
      <xdr:colOff>449036</xdr:colOff>
      <xdr:row>27</xdr:row>
      <xdr:rowOff>122464</xdr:rowOff>
    </xdr:from>
    <xdr:ext cx="481222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8273143" y="5265964"/>
              <a:ext cx="481222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600" b="1"/>
                <a:t>t</a:t>
              </a:r>
              <a14:m>
                <m:oMath xmlns:m="http://schemas.openxmlformats.org/officeDocument/2006/math">
                  <m:r>
                    <a:rPr lang="en-GB" sz="16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GB" sz="16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GB" sz="16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8273143" y="5265964"/>
              <a:ext cx="481222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600" b="1"/>
                <a:t>t</a:t>
              </a:r>
              <a:r>
                <a:rPr lang="en-GB" sz="1600" b="1" i="0">
                  <a:latin typeface="Cambria Math" panose="02040503050406030204" pitchFamily="18" charset="0"/>
                </a:rPr>
                <a:t>,[𝒎]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494392</xdr:colOff>
      <xdr:row>17</xdr:row>
      <xdr:rowOff>48079</xdr:rowOff>
    </xdr:from>
    <xdr:to>
      <xdr:col>16</xdr:col>
      <xdr:colOff>303892</xdr:colOff>
      <xdr:row>31</xdr:row>
      <xdr:rowOff>124279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430289</xdr:colOff>
      <xdr:row>17</xdr:row>
      <xdr:rowOff>37192</xdr:rowOff>
    </xdr:from>
    <xdr:ext cx="522900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4727122" y="3275692"/>
              <a:ext cx="52290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GB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GB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GB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4727122" y="3275692"/>
              <a:ext cx="52290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600" b="1" i="0">
                  <a:latin typeface="Cambria Math" panose="02040503050406030204" pitchFamily="18" charset="0"/>
                </a:rPr>
                <a:t>𝑻,[𝑪]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15</xdr:col>
      <xdr:colOff>528411</xdr:colOff>
      <xdr:row>28</xdr:row>
      <xdr:rowOff>185964</xdr:rowOff>
    </xdr:from>
    <xdr:ext cx="481222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9847036" y="5519964"/>
              <a:ext cx="481222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600" b="1"/>
                <a:t>t</a:t>
              </a:r>
              <a14:m>
                <m:oMath xmlns:m="http://schemas.openxmlformats.org/officeDocument/2006/math">
                  <m:r>
                    <a:rPr lang="en-GB" sz="16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GB" sz="16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GB" sz="16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100" b="1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9847036" y="5519964"/>
              <a:ext cx="481222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600" b="1"/>
                <a:t>t</a:t>
              </a:r>
              <a:r>
                <a:rPr lang="en-GB" sz="1600" b="1" i="0">
                  <a:latin typeface="Cambria Math" panose="02040503050406030204" pitchFamily="18" charset="0"/>
                </a:rPr>
                <a:t>,[𝒎]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zoomScale="70" zoomScaleNormal="70" workbookViewId="0">
      <selection activeCell="G15" sqref="G15"/>
    </sheetView>
  </sheetViews>
  <sheetFormatPr defaultRowHeight="15" x14ac:dyDescent="0.25"/>
  <cols>
    <col min="6" max="36" width="7.1406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2">
        <v>3.333E-3</v>
      </c>
    </row>
    <row r="5" spans="2:36" x14ac:dyDescent="0.25">
      <c r="B5" s="1" t="s">
        <v>2</v>
      </c>
      <c r="C5" s="2">
        <f>(C9*C8*C4^2)/(2*C10)</f>
        <v>0.43324667099999997</v>
      </c>
    </row>
    <row r="6" spans="2:36" x14ac:dyDescent="0.25">
      <c r="B6" s="1" t="s">
        <v>3</v>
      </c>
      <c r="C6" s="1">
        <v>500</v>
      </c>
      <c r="D6">
        <v>500.39990500499999</v>
      </c>
    </row>
    <row r="7" spans="2:36" x14ac:dyDescent="0.25">
      <c r="B7" s="3"/>
      <c r="C7" s="3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B11" s="3"/>
      <c r="C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7</v>
      </c>
      <c r="C12" s="1">
        <v>300</v>
      </c>
      <c r="E12" s="4" t="s">
        <v>0</v>
      </c>
      <c r="F12" s="5">
        <v>0</v>
      </c>
      <c r="G12" s="5">
        <f>F12+$C$4</f>
        <v>3.333E-3</v>
      </c>
      <c r="H12" s="5">
        <f t="shared" ref="H12:AJ12" si="0">G12+$C$4</f>
        <v>6.6660000000000001E-3</v>
      </c>
      <c r="I12" s="5">
        <f t="shared" si="0"/>
        <v>9.9990000000000009E-3</v>
      </c>
      <c r="J12" s="5">
        <f t="shared" si="0"/>
        <v>1.3332E-2</v>
      </c>
      <c r="K12" s="5">
        <f t="shared" si="0"/>
        <v>1.6664999999999999E-2</v>
      </c>
      <c r="L12" s="5">
        <f t="shared" si="0"/>
        <v>1.9997999999999998E-2</v>
      </c>
      <c r="M12" s="5">
        <f t="shared" si="0"/>
        <v>2.3330999999999998E-2</v>
      </c>
      <c r="N12" s="5">
        <f t="shared" si="0"/>
        <v>2.6663999999999997E-2</v>
      </c>
      <c r="O12" s="5">
        <f t="shared" si="0"/>
        <v>2.9996999999999996E-2</v>
      </c>
      <c r="P12" s="5">
        <f t="shared" si="0"/>
        <v>3.3329999999999999E-2</v>
      </c>
      <c r="Q12" s="5">
        <f t="shared" si="0"/>
        <v>3.6663000000000001E-2</v>
      </c>
      <c r="R12" s="5">
        <f t="shared" si="0"/>
        <v>3.9996000000000004E-2</v>
      </c>
      <c r="S12" s="5">
        <f t="shared" si="0"/>
        <v>4.3329000000000006E-2</v>
      </c>
      <c r="T12" s="5">
        <f t="shared" si="0"/>
        <v>4.6662000000000009E-2</v>
      </c>
      <c r="U12" s="5">
        <f t="shared" si="0"/>
        <v>4.9995000000000012E-2</v>
      </c>
      <c r="V12" s="5">
        <f t="shared" si="0"/>
        <v>5.3328000000000014E-2</v>
      </c>
      <c r="W12" s="5">
        <f t="shared" si="0"/>
        <v>5.6661000000000017E-2</v>
      </c>
      <c r="X12" s="5">
        <f t="shared" si="0"/>
        <v>5.999400000000002E-2</v>
      </c>
      <c r="Y12" s="5">
        <f t="shared" si="0"/>
        <v>6.3327000000000022E-2</v>
      </c>
      <c r="Z12" s="5">
        <f t="shared" si="0"/>
        <v>6.6660000000000025E-2</v>
      </c>
      <c r="AA12" s="5">
        <f t="shared" si="0"/>
        <v>6.9993000000000027E-2</v>
      </c>
      <c r="AB12" s="5">
        <f t="shared" si="0"/>
        <v>7.332600000000003E-2</v>
      </c>
      <c r="AC12" s="5">
        <f t="shared" si="0"/>
        <v>7.6659000000000033E-2</v>
      </c>
      <c r="AD12" s="5">
        <f t="shared" si="0"/>
        <v>7.9992000000000035E-2</v>
      </c>
      <c r="AE12" s="5">
        <f t="shared" si="0"/>
        <v>8.3325000000000038E-2</v>
      </c>
      <c r="AF12" s="5">
        <f t="shared" si="0"/>
        <v>8.6658000000000041E-2</v>
      </c>
      <c r="AG12" s="5">
        <f t="shared" si="0"/>
        <v>8.9991000000000043E-2</v>
      </c>
      <c r="AH12" s="5">
        <f t="shared" si="0"/>
        <v>9.3324000000000046E-2</v>
      </c>
      <c r="AI12" s="5">
        <f t="shared" si="0"/>
        <v>9.6657000000000048E-2</v>
      </c>
      <c r="AJ12" s="5">
        <f t="shared" si="0"/>
        <v>9.9990000000000051E-2</v>
      </c>
    </row>
    <row r="13" spans="2:36" x14ac:dyDescent="0.25">
      <c r="B13" s="1" t="s">
        <v>8</v>
      </c>
      <c r="C13" s="1">
        <v>100</v>
      </c>
      <c r="E13" s="4" t="s">
        <v>9</v>
      </c>
      <c r="F13" s="4">
        <v>300</v>
      </c>
      <c r="G13" s="4">
        <v>293.32310708172031</v>
      </c>
      <c r="H13" s="4">
        <v>286.64643763157392</v>
      </c>
      <c r="I13" s="4">
        <v>279.96976818142753</v>
      </c>
      <c r="J13" s="4">
        <v>273.29375936905114</v>
      </c>
      <c r="K13" s="4">
        <v>266.61775055667476</v>
      </c>
      <c r="L13" s="4">
        <v>259.94281067866456</v>
      </c>
      <c r="M13" s="4">
        <v>253.26787080065432</v>
      </c>
      <c r="N13" s="4">
        <v>246.59436143604526</v>
      </c>
      <c r="O13" s="4">
        <v>239.9208520714362</v>
      </c>
      <c r="P13" s="4">
        <v>233.2490722789633</v>
      </c>
      <c r="Q13" s="4">
        <v>226.57729248649036</v>
      </c>
      <c r="R13" s="4">
        <v>219.9074657342868</v>
      </c>
      <c r="S13" s="4">
        <v>213.23763898208321</v>
      </c>
      <c r="T13" s="4">
        <v>206.56990338105072</v>
      </c>
      <c r="U13" s="4">
        <v>199.9021677800182</v>
      </c>
      <c r="V13" s="4">
        <v>193.23657004771786</v>
      </c>
      <c r="W13" s="4">
        <v>186.57097231541749</v>
      </c>
      <c r="X13" s="4">
        <v>179.90746573428811</v>
      </c>
      <c r="Y13" s="4">
        <v>173.24395915315873</v>
      </c>
      <c r="Z13" s="4">
        <v>166.58240561229854</v>
      </c>
      <c r="AA13" s="4">
        <v>159.92085207143839</v>
      </c>
      <c r="AB13" s="4">
        <v>153.26102810271419</v>
      </c>
      <c r="AC13" s="4">
        <v>146.60120413398997</v>
      </c>
      <c r="AD13" s="4">
        <v>139.94281067866672</v>
      </c>
      <c r="AE13" s="4">
        <v>133.28441722334344</v>
      </c>
      <c r="AF13" s="4">
        <v>126.62709270238616</v>
      </c>
      <c r="AG13" s="4">
        <v>119.96976818142888</v>
      </c>
      <c r="AH13" s="4">
        <v>113.31310429824151</v>
      </c>
      <c r="AI13" s="4">
        <v>106.65644041505415</v>
      </c>
      <c r="AJ13" s="4">
        <v>100</v>
      </c>
    </row>
    <row r="14" spans="2:36" x14ac:dyDescent="0.25">
      <c r="E14" s="4"/>
    </row>
    <row r="15" spans="2:36" x14ac:dyDescent="0.25">
      <c r="E15" s="4" t="s">
        <v>10</v>
      </c>
      <c r="G15" s="4">
        <f>G13+(($C$10*$C$5)/($C$9*$C$8))*((H13-2*G13+F13)/($C$4^2))</f>
        <v>293.32321881578696</v>
      </c>
      <c r="H15" s="4">
        <f t="shared" ref="H15:AI15" si="1">H13+(($C$10*$C$5)/($C$9*$C$8))*((I13-2*H13+G13)/($C$4^2))</f>
        <v>286.64643763157392</v>
      </c>
      <c r="I15" s="4">
        <f t="shared" si="1"/>
        <v>279.97009850031253</v>
      </c>
      <c r="J15" s="4">
        <f t="shared" si="1"/>
        <v>273.29375936905114</v>
      </c>
      <c r="K15" s="4">
        <f t="shared" si="1"/>
        <v>266.61828502385788</v>
      </c>
      <c r="L15" s="4">
        <f t="shared" si="1"/>
        <v>259.94281067866456</v>
      </c>
      <c r="M15" s="4">
        <f t="shared" si="1"/>
        <v>253.26858605735492</v>
      </c>
      <c r="N15" s="4">
        <f t="shared" si="1"/>
        <v>246.59436143604526</v>
      </c>
      <c r="O15" s="4">
        <f t="shared" si="1"/>
        <v>239.92171685750429</v>
      </c>
      <c r="P15" s="4">
        <f t="shared" si="1"/>
        <v>233.2490722789633</v>
      </c>
      <c r="Q15" s="4">
        <f t="shared" si="1"/>
        <v>226.57826900662505</v>
      </c>
      <c r="R15" s="4">
        <f t="shared" si="1"/>
        <v>219.9074657342868</v>
      </c>
      <c r="S15" s="4">
        <f t="shared" si="1"/>
        <v>213.23868455766876</v>
      </c>
      <c r="T15" s="4">
        <f t="shared" si="1"/>
        <v>206.56990338105072</v>
      </c>
      <c r="U15" s="4">
        <f t="shared" si="1"/>
        <v>199.90323671438429</v>
      </c>
      <c r="V15" s="4">
        <f t="shared" si="1"/>
        <v>193.23657004771786</v>
      </c>
      <c r="W15" s="4">
        <f t="shared" si="1"/>
        <v>186.57201789100299</v>
      </c>
      <c r="X15" s="4">
        <f t="shared" si="1"/>
        <v>179.90746573428811</v>
      </c>
      <c r="Y15" s="4">
        <f t="shared" si="1"/>
        <v>173.24493567329333</v>
      </c>
      <c r="Z15" s="4">
        <f t="shared" si="1"/>
        <v>166.58240561229854</v>
      </c>
      <c r="AA15" s="4">
        <f t="shared" si="1"/>
        <v>159.92171685750637</v>
      </c>
      <c r="AB15" s="4">
        <f t="shared" si="1"/>
        <v>153.26102810271419</v>
      </c>
      <c r="AC15" s="4">
        <f t="shared" si="1"/>
        <v>146.60191939069045</v>
      </c>
      <c r="AD15" s="4">
        <f t="shared" si="1"/>
        <v>139.94281067866672</v>
      </c>
      <c r="AE15" s="4">
        <f t="shared" si="1"/>
        <v>133.28495169052644</v>
      </c>
      <c r="AF15" s="4">
        <f t="shared" si="1"/>
        <v>126.62709270238616</v>
      </c>
      <c r="AG15" s="4">
        <f t="shared" si="1"/>
        <v>119.97009850031384</v>
      </c>
      <c r="AH15" s="4">
        <f t="shared" si="1"/>
        <v>113.31310429824151</v>
      </c>
      <c r="AI15" s="4">
        <f t="shared" si="1"/>
        <v>106.65655214912076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J16"/>
  <sheetViews>
    <sheetView tabSelected="1" topLeftCell="C1" zoomScale="60" zoomScaleNormal="60" workbookViewId="0">
      <selection activeCell="I5" sqref="I5"/>
    </sheetView>
  </sheetViews>
  <sheetFormatPr defaultRowHeight="15" x14ac:dyDescent="0.25"/>
  <cols>
    <col min="6" max="6" width="8" customWidth="1"/>
    <col min="7" max="7" width="14.140625" bestFit="1" customWidth="1"/>
    <col min="8" max="35" width="9" bestFit="1" customWidth="1"/>
    <col min="36" max="36" width="8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2">
        <v>3.333E-3</v>
      </c>
    </row>
    <row r="5" spans="2:36" x14ac:dyDescent="0.25">
      <c r="B5" s="1" t="s">
        <v>2</v>
      </c>
      <c r="C5" s="2">
        <f>(C9*C8*C4^2)/(2*C10)</f>
        <v>0.43324667099999997</v>
      </c>
    </row>
    <row r="6" spans="2:36" x14ac:dyDescent="0.25">
      <c r="B6" s="1" t="s">
        <v>3</v>
      </c>
      <c r="C6" s="1">
        <v>5000</v>
      </c>
      <c r="D6">
        <v>5000.0998300109995</v>
      </c>
    </row>
    <row r="7" spans="2:36" x14ac:dyDescent="0.25">
      <c r="B7" s="3"/>
      <c r="C7" s="3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B11" s="3"/>
      <c r="C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12</v>
      </c>
      <c r="C12" s="1">
        <v>92000</v>
      </c>
      <c r="E12" s="4" t="s">
        <v>0</v>
      </c>
      <c r="F12" s="5">
        <v>0</v>
      </c>
      <c r="G12" s="5">
        <f>F12+$C$4</f>
        <v>3.333E-3</v>
      </c>
      <c r="H12" s="5">
        <f t="shared" ref="H12:AJ12" si="0">G12+$C$4</f>
        <v>6.6660000000000001E-3</v>
      </c>
      <c r="I12" s="5">
        <f t="shared" si="0"/>
        <v>9.9990000000000009E-3</v>
      </c>
      <c r="J12" s="5">
        <f t="shared" si="0"/>
        <v>1.3332E-2</v>
      </c>
      <c r="K12" s="5">
        <f t="shared" si="0"/>
        <v>1.6664999999999999E-2</v>
      </c>
      <c r="L12" s="5">
        <f t="shared" si="0"/>
        <v>1.9997999999999998E-2</v>
      </c>
      <c r="M12" s="5">
        <f t="shared" si="0"/>
        <v>2.3330999999999998E-2</v>
      </c>
      <c r="N12" s="5">
        <f t="shared" si="0"/>
        <v>2.6663999999999997E-2</v>
      </c>
      <c r="O12" s="5">
        <f t="shared" si="0"/>
        <v>2.9996999999999996E-2</v>
      </c>
      <c r="P12" s="5">
        <f t="shared" si="0"/>
        <v>3.3329999999999999E-2</v>
      </c>
      <c r="Q12" s="5">
        <f t="shared" si="0"/>
        <v>3.6663000000000001E-2</v>
      </c>
      <c r="R12" s="5">
        <f t="shared" si="0"/>
        <v>3.9996000000000004E-2</v>
      </c>
      <c r="S12" s="5">
        <f t="shared" si="0"/>
        <v>4.3329000000000006E-2</v>
      </c>
      <c r="T12" s="5">
        <f t="shared" si="0"/>
        <v>4.6662000000000009E-2</v>
      </c>
      <c r="U12" s="5">
        <f t="shared" si="0"/>
        <v>4.9995000000000012E-2</v>
      </c>
      <c r="V12" s="5">
        <f t="shared" si="0"/>
        <v>5.3328000000000014E-2</v>
      </c>
      <c r="W12" s="5">
        <f t="shared" si="0"/>
        <v>5.6661000000000017E-2</v>
      </c>
      <c r="X12" s="5">
        <f t="shared" si="0"/>
        <v>5.999400000000002E-2</v>
      </c>
      <c r="Y12" s="5">
        <f t="shared" si="0"/>
        <v>6.3327000000000022E-2</v>
      </c>
      <c r="Z12" s="5">
        <f t="shared" si="0"/>
        <v>6.6660000000000025E-2</v>
      </c>
      <c r="AA12" s="5">
        <f t="shared" si="0"/>
        <v>6.9993000000000027E-2</v>
      </c>
      <c r="AB12" s="5">
        <f t="shared" si="0"/>
        <v>7.332600000000003E-2</v>
      </c>
      <c r="AC12" s="5">
        <f t="shared" si="0"/>
        <v>7.6659000000000033E-2</v>
      </c>
      <c r="AD12" s="5">
        <f t="shared" si="0"/>
        <v>7.9992000000000035E-2</v>
      </c>
      <c r="AE12" s="5">
        <f t="shared" si="0"/>
        <v>8.3325000000000038E-2</v>
      </c>
      <c r="AF12" s="5">
        <f t="shared" si="0"/>
        <v>8.6658000000000041E-2</v>
      </c>
      <c r="AG12" s="5">
        <f t="shared" si="0"/>
        <v>8.9991000000000043E-2</v>
      </c>
      <c r="AH12" s="5">
        <f t="shared" si="0"/>
        <v>9.3324000000000046E-2</v>
      </c>
      <c r="AI12" s="5">
        <f t="shared" si="0"/>
        <v>9.6657000000000048E-2</v>
      </c>
      <c r="AJ12" s="5">
        <f t="shared" si="0"/>
        <v>9.9990000000000051E-2</v>
      </c>
    </row>
    <row r="13" spans="2:36" x14ac:dyDescent="0.25">
      <c r="B13" s="1" t="s">
        <v>8</v>
      </c>
      <c r="C13" s="1">
        <v>100</v>
      </c>
      <c r="E13" s="4" t="s">
        <v>9</v>
      </c>
      <c r="F13" s="7">
        <f>(F16/C10)*C4+G13</f>
        <v>299.97997769568912</v>
      </c>
      <c r="G13" s="4">
        <v>293.31397769568912</v>
      </c>
      <c r="H13" s="4">
        <v>286.64797775891304</v>
      </c>
      <c r="I13" s="4">
        <v>279.98197788518183</v>
      </c>
      <c r="J13" s="4">
        <v>273.31597807413743</v>
      </c>
      <c r="K13" s="4">
        <v>266.64997832524432</v>
      </c>
      <c r="L13" s="4">
        <v>259.98397863779064</v>
      </c>
      <c r="M13" s="4">
        <v>253.31797901089041</v>
      </c>
      <c r="N13" s="4">
        <v>246.65197944348614</v>
      </c>
      <c r="O13" s="4">
        <v>239.98597993435155</v>
      </c>
      <c r="P13" s="4">
        <v>233.31998048209522</v>
      </c>
      <c r="Q13" s="4">
        <v>226.6539810851645</v>
      </c>
      <c r="R13" s="4">
        <v>219.98798174184995</v>
      </c>
      <c r="S13" s="4">
        <v>213.32198245029008</v>
      </c>
      <c r="T13" s="4">
        <v>206.65598320847681</v>
      </c>
      <c r="U13" s="4">
        <v>199.98998401426093</v>
      </c>
      <c r="V13" s="4">
        <v>193.3239848653584</v>
      </c>
      <c r="W13" s="4">
        <v>186.65798575935654</v>
      </c>
      <c r="X13" s="4">
        <v>179.99198669372146</v>
      </c>
      <c r="Y13" s="4">
        <v>173.32598766580435</v>
      </c>
      <c r="Z13" s="4">
        <v>166.65998867284998</v>
      </c>
      <c r="AA13" s="4">
        <v>159.9939897120035</v>
      </c>
      <c r="AB13" s="4">
        <v>153.32799078031962</v>
      </c>
      <c r="AC13" s="4">
        <v>146.6619918747698</v>
      </c>
      <c r="AD13" s="4">
        <v>139.99599299225193</v>
      </c>
      <c r="AE13" s="4">
        <v>133.32999412959819</v>
      </c>
      <c r="AF13" s="4">
        <v>126.66399528358482</v>
      </c>
      <c r="AG13" s="4">
        <v>119.99799645094058</v>
      </c>
      <c r="AH13" s="4">
        <v>113.33199762835658</v>
      </c>
      <c r="AI13" s="4">
        <v>106.66599881249522</v>
      </c>
      <c r="AJ13" s="4">
        <v>100</v>
      </c>
    </row>
    <row r="14" spans="2:36" x14ac:dyDescent="0.25">
      <c r="E14" s="4"/>
    </row>
    <row r="15" spans="2:36" x14ac:dyDescent="0.25">
      <c r="E15" s="4" t="s">
        <v>10</v>
      </c>
      <c r="G15" s="4">
        <f>G13+(($C$10*$C$5)/($C$9*$C$8))*((H13-2*G13+F13)/($C$4^2))</f>
        <v>293.31397772730111</v>
      </c>
      <c r="H15" s="4">
        <f t="shared" ref="H15:AJ15" si="1">H13+(($C$10*$C$5)/($C$9*$C$8))*((I13-2*H13+G13)/($C$4^2))</f>
        <v>286.64797779043545</v>
      </c>
      <c r="I15" s="4">
        <f t="shared" si="1"/>
        <v>279.98197791652524</v>
      </c>
      <c r="J15" s="4">
        <f t="shared" si="1"/>
        <v>273.31597810521305</v>
      </c>
      <c r="K15" s="4">
        <f t="shared" si="1"/>
        <v>266.64997835596404</v>
      </c>
      <c r="L15" s="4">
        <f t="shared" si="1"/>
        <v>259.98397866806738</v>
      </c>
      <c r="M15" s="4">
        <f t="shared" si="1"/>
        <v>253.31797904063839</v>
      </c>
      <c r="N15" s="4">
        <f t="shared" si="1"/>
        <v>246.65197947262098</v>
      </c>
      <c r="O15" s="4">
        <f t="shared" si="1"/>
        <v>239.98597996279068</v>
      </c>
      <c r="P15" s="4">
        <f t="shared" si="1"/>
        <v>233.31998050975801</v>
      </c>
      <c r="Q15" s="4">
        <f t="shared" si="1"/>
        <v>226.6539811119726</v>
      </c>
      <c r="R15" s="4">
        <f t="shared" si="1"/>
        <v>219.98798176772729</v>
      </c>
      <c r="S15" s="4">
        <f t="shared" si="1"/>
        <v>213.3219824751634</v>
      </c>
      <c r="T15" s="4">
        <f t="shared" si="1"/>
        <v>206.6559832322755</v>
      </c>
      <c r="U15" s="4">
        <f t="shared" si="1"/>
        <v>199.9899840369176</v>
      </c>
      <c r="V15" s="4">
        <f t="shared" si="1"/>
        <v>193.32398488680872</v>
      </c>
      <c r="W15" s="4">
        <f t="shared" si="1"/>
        <v>186.65798577953993</v>
      </c>
      <c r="X15" s="4">
        <f t="shared" si="1"/>
        <v>179.99198671258046</v>
      </c>
      <c r="Y15" s="4">
        <f t="shared" si="1"/>
        <v>173.32598768328572</v>
      </c>
      <c r="Z15" s="4">
        <f t="shared" si="1"/>
        <v>166.65998868890392</v>
      </c>
      <c r="AA15" s="4">
        <f t="shared" si="1"/>
        <v>159.9939897265848</v>
      </c>
      <c r="AB15" s="4">
        <f t="shared" si="1"/>
        <v>153.32799079338665</v>
      </c>
      <c r="AC15" s="4">
        <f t="shared" si="1"/>
        <v>146.66199188628576</v>
      </c>
      <c r="AD15" s="4">
        <f t="shared" si="1"/>
        <v>139.99599300218398</v>
      </c>
      <c r="AE15" s="4">
        <f t="shared" si="1"/>
        <v>133.32999413791839</v>
      </c>
      <c r="AF15" s="4">
        <f t="shared" si="1"/>
        <v>126.66399529026938</v>
      </c>
      <c r="AG15" s="4">
        <f t="shared" si="1"/>
        <v>119.99799645597071</v>
      </c>
      <c r="AH15" s="4">
        <f t="shared" si="1"/>
        <v>113.3319976317179</v>
      </c>
      <c r="AI15" s="4">
        <f t="shared" si="1"/>
        <v>106.66599881417829</v>
      </c>
      <c r="AJ15" s="4"/>
    </row>
    <row r="16" spans="2:36" x14ac:dyDescent="0.25">
      <c r="E16" s="6" t="s">
        <v>11</v>
      </c>
      <c r="F16">
        <f>C12</f>
        <v>92000</v>
      </c>
      <c r="G16" s="4">
        <f>-$C$10*((G13-F13)/$C$4)</f>
        <v>91999.999999999956</v>
      </c>
      <c r="H16" s="4">
        <f t="shared" ref="H16:AJ16" si="2">-$C$10*((H13-G13)/$C$4)</f>
        <v>91999.999127422576</v>
      </c>
      <c r="I16" s="4">
        <f t="shared" si="2"/>
        <v>91999.998257316416</v>
      </c>
      <c r="J16" s="4">
        <f t="shared" si="2"/>
        <v>91999.997392151941</v>
      </c>
      <c r="K16" s="4">
        <f t="shared" si="2"/>
        <v>91999.996534378413</v>
      </c>
      <c r="L16" s="4">
        <f t="shared" si="2"/>
        <v>91999.995686429393</v>
      </c>
      <c r="M16" s="4">
        <f t="shared" si="2"/>
        <v>91999.994850708259</v>
      </c>
      <c r="N16" s="4">
        <f t="shared" si="2"/>
        <v>91999.994029581881</v>
      </c>
      <c r="O16" s="4">
        <f t="shared" si="2"/>
        <v>91999.99322537992</v>
      </c>
      <c r="P16" s="4">
        <f t="shared" si="2"/>
        <v>91999.992440381378</v>
      </c>
      <c r="Q16" s="4">
        <f t="shared" si="2"/>
        <v>91999.991676811551</v>
      </c>
      <c r="R16" s="4">
        <f t="shared" si="2"/>
        <v>91999.990936834525</v>
      </c>
      <c r="S16" s="4">
        <f t="shared" si="2"/>
        <v>91999.990222548469</v>
      </c>
      <c r="T16" s="4">
        <f t="shared" si="2"/>
        <v>91999.989535976696</v>
      </c>
      <c r="U16" s="4">
        <f t="shared" si="2"/>
        <v>91999.988879067125</v>
      </c>
      <c r="V16" s="4">
        <f t="shared" si="2"/>
        <v>91999.988253680276</v>
      </c>
      <c r="W16" s="4">
        <f t="shared" si="2"/>
        <v>91999.987661591862</v>
      </c>
      <c r="X16" s="4">
        <f t="shared" si="2"/>
        <v>91999.987104474509</v>
      </c>
      <c r="Y16" s="4">
        <f t="shared" si="2"/>
        <v>91999.986583914506</v>
      </c>
      <c r="Z16" s="4">
        <f t="shared" si="2"/>
        <v>91999.986101380462</v>
      </c>
      <c r="AA16" s="4">
        <f t="shared" si="2"/>
        <v>91999.985658247242</v>
      </c>
      <c r="AB16" s="4">
        <f t="shared" si="2"/>
        <v>91999.985255763037</v>
      </c>
      <c r="AC16" s="4">
        <f t="shared" si="2"/>
        <v>91999.984895077127</v>
      </c>
      <c r="AD16" s="4">
        <f t="shared" si="2"/>
        <v>91999.984577204305</v>
      </c>
      <c r="AE16" s="4">
        <f t="shared" si="2"/>
        <v>91999.984303051882</v>
      </c>
      <c r="AF16" s="4">
        <f t="shared" si="2"/>
        <v>91999.984073391781</v>
      </c>
      <c r="AG16" s="4">
        <f t="shared" si="2"/>
        <v>91999.98388887952</v>
      </c>
      <c r="AH16" s="4">
        <f t="shared" si="2"/>
        <v>91999.983750034226</v>
      </c>
      <c r="AI16" s="4">
        <f t="shared" si="2"/>
        <v>91999.983657252451</v>
      </c>
      <c r="AJ16" s="4">
        <f t="shared" si="2"/>
        <v>91999.983610795083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ГУ 1 рода</vt:lpstr>
      <vt:lpstr>ГУ 2 рода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 Клименко</dc:creator>
  <cp:lastModifiedBy>Алексей Клименко</cp:lastModifiedBy>
  <dcterms:created xsi:type="dcterms:W3CDTF">2021-09-07T15:11:11Z</dcterms:created>
  <dcterms:modified xsi:type="dcterms:W3CDTF">2021-09-07T19:15:32Z</dcterms:modified>
</cp:coreProperties>
</file>