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5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" i="1" l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H15" i="1" l="1"/>
  <c r="AF15" i="1"/>
  <c r="AD15" i="1"/>
  <c r="AB15" i="1"/>
  <c r="Z15" i="1"/>
  <c r="X15" i="1"/>
  <c r="V15" i="1"/>
  <c r="T15" i="1"/>
  <c r="R15" i="1"/>
  <c r="P15" i="1"/>
  <c r="N15" i="1"/>
  <c r="L15" i="1"/>
  <c r="J15" i="1"/>
  <c r="H15" i="1"/>
  <c r="I15" i="1"/>
  <c r="K15" i="1"/>
  <c r="M15" i="1"/>
  <c r="O15" i="1"/>
  <c r="Q15" i="1"/>
  <c r="S15" i="1"/>
  <c r="U15" i="1"/>
  <c r="W15" i="1"/>
  <c r="Y15" i="1"/>
  <c r="AA15" i="1"/>
  <c r="AC15" i="1"/>
  <c r="AE15" i="1"/>
  <c r="AG15" i="1"/>
  <c r="AI15" i="1"/>
  <c r="C5" i="1"/>
  <c r="AJ13" i="1"/>
  <c r="F13" i="1"/>
  <c r="G15" i="1" s="1"/>
  <c r="AJ12" i="1"/>
  <c r="C4" i="1"/>
</calcChain>
</file>

<file path=xl/sharedStrings.xml><?xml version="1.0" encoding="utf-8"?>
<sst xmlns="http://schemas.openxmlformats.org/spreadsheetml/2006/main" count="14" uniqueCount="13">
  <si>
    <t>L</t>
  </si>
  <si>
    <t>dx</t>
  </si>
  <si>
    <t>dt</t>
  </si>
  <si>
    <t>t</t>
  </si>
  <si>
    <t>Cp</t>
  </si>
  <si>
    <t>ro</t>
  </si>
  <si>
    <t>lambda</t>
  </si>
  <si>
    <t>T</t>
  </si>
  <si>
    <t>T_start</t>
  </si>
  <si>
    <t>T_end</t>
  </si>
  <si>
    <t>T_iter</t>
  </si>
  <si>
    <t>Tgaz</t>
  </si>
  <si>
    <t>alfa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</si>
</sst>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 applyAlignment="1">
      <alignment horizontal="center" vertical="center"/>
    </xf>
    <xf numFmtId="164" fontId="0" fillId="0" borderId="1" xfId="0" applyNumberFormat="1" applyBorder="1"/>
    <xf numFmtId="0" fontId="0" fillId="0" borderId="0" xfId="0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74540682414698"/>
          <c:y val="2.9675925925925925E-2"/>
          <c:w val="0.82806714785651792"/>
          <c:h val="0.89435185185185184"/>
        </c:manualLayout>
      </c:layout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>
                  <c:v>77.1875</c:v>
                </c:pt>
                <c:pt idx="1">
                  <c:v>72.531817971600219</c:v>
                </c:pt>
                <c:pt idx="2">
                  <c:v>67.876135943200438</c:v>
                </c:pt>
                <c:pt idx="3">
                  <c:v>63.451800534406949</c:v>
                </c:pt>
                <c:pt idx="4">
                  <c:v>59.027465125613467</c:v>
                </c:pt>
                <c:pt idx="5">
                  <c:v>55.055898151838484</c:v>
                </c:pt>
                <c:pt idx="6">
                  <c:v>51.084331178063522</c:v>
                </c:pt>
                <c:pt idx="7">
                  <c:v>47.767789111604948</c:v>
                </c:pt>
                <c:pt idx="8">
                  <c:v>44.451247045146403</c:v>
                </c:pt>
                <c:pt idx="9">
                  <c:v>41.964768068314577</c:v>
                </c:pt>
                <c:pt idx="10">
                  <c:v>39.478289091482765</c:v>
                </c:pt>
                <c:pt idx="11">
                  <c:v>37.963044190616529</c:v>
                </c:pt>
                <c:pt idx="12">
                  <c:v>36.447799289750286</c:v>
                </c:pt>
                <c:pt idx="13">
                  <c:v>36.005790597743243</c:v>
                </c:pt>
                <c:pt idx="14">
                  <c:v>35.563781905736199</c:v>
                </c:pt>
                <c:pt idx="15">
                  <c:v>36.253687097568275</c:v>
                </c:pt>
                <c:pt idx="16">
                  <c:v>36.943592289400357</c:v>
                </c:pt>
                <c:pt idx="17">
                  <c:v>38.777600853032318</c:v>
                </c:pt>
                <c:pt idx="18">
                  <c:v>40.61160941666428</c:v>
                </c:pt>
                <c:pt idx="19">
                  <c:v>43.553316691494423</c:v>
                </c:pt>
                <c:pt idx="20">
                  <c:v>46.495023966324567</c:v>
                </c:pt>
                <c:pt idx="21">
                  <c:v>50.458745956416806</c:v>
                </c:pt>
                <c:pt idx="22">
                  <c:v>54.422467946509052</c:v>
                </c:pt>
                <c:pt idx="23">
                  <c:v>59.274575013101398</c:v>
                </c:pt>
                <c:pt idx="24">
                  <c:v>64.126682079693765</c:v>
                </c:pt>
                <c:pt idx="25">
                  <c:v>69.689593861635913</c:v>
                </c:pt>
                <c:pt idx="26">
                  <c:v>75.252505643578104</c:v>
                </c:pt>
                <c:pt idx="27">
                  <c:v>81.311776180612398</c:v>
                </c:pt>
                <c:pt idx="28">
                  <c:v>87.371046717646735</c:v>
                </c:pt>
                <c:pt idx="29">
                  <c:v>93.68552335882336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26-4D31-A6F0-EE6AB12EE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534832"/>
        <c:axId val="224538440"/>
      </c:scatterChart>
      <c:valAx>
        <c:axId val="22453483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4538440"/>
        <c:crosses val="autoZero"/>
        <c:crossBetween val="midCat"/>
      </c:valAx>
      <c:valAx>
        <c:axId val="224538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4534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285749</xdr:colOff>
      <xdr:row>16</xdr:row>
      <xdr:rowOff>29934</xdr:rowOff>
    </xdr:from>
    <xdr:to>
      <xdr:col>13</xdr:col>
      <xdr:colOff>136070</xdr:colOff>
      <xdr:row>34</xdr:row>
      <xdr:rowOff>136071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263978</xdr:colOff>
      <xdr:row>16</xdr:row>
      <xdr:rowOff>73479</xdr:rowOff>
    </xdr:from>
    <xdr:ext cx="524311" cy="32112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3393621" y="3121479"/>
              <a:ext cx="524311" cy="32112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100" b="1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3393621" y="3121479"/>
              <a:ext cx="524311" cy="32112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600" b="1" i="0">
                  <a:latin typeface="Cambria Math" panose="02040503050406030204" pitchFamily="18" charset="0"/>
                </a:rPr>
                <a:t>𝑻, [𝑪]</a:t>
              </a:r>
              <a:endParaRPr lang="ru-RU" sz="1100" b="1"/>
            </a:p>
          </xdr:txBody>
        </xdr:sp>
      </mc:Fallback>
    </mc:AlternateContent>
    <xdr:clientData/>
  </xdr:oneCellAnchor>
  <xdr:oneCellAnchor>
    <xdr:from>
      <xdr:col>12</xdr:col>
      <xdr:colOff>81643</xdr:colOff>
      <xdr:row>33</xdr:row>
      <xdr:rowOff>81643</xdr:rowOff>
    </xdr:from>
    <xdr:ext cx="542521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6545036" y="6368143"/>
              <a:ext cx="542521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𝒕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𝒎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100" b="1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6545036" y="6368143"/>
              <a:ext cx="542521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b="1" i="0">
                  <a:latin typeface="Cambria Math" panose="02040503050406030204" pitchFamily="18" charset="0"/>
                </a:rPr>
                <a:t>𝒕, [𝒎]</a:t>
              </a:r>
              <a:endParaRPr lang="ru-RU" sz="1100" b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3:AJ16"/>
  <sheetViews>
    <sheetView tabSelected="1" topLeftCell="A5" zoomScale="70" zoomScaleNormal="70" workbookViewId="0">
      <selection activeCell="G13" sqref="G13:AI13"/>
    </sheetView>
  </sheetViews>
  <sheetFormatPr defaultRowHeight="15" x14ac:dyDescent="0.25"/>
  <cols>
    <col min="3" max="3" width="10.140625" bestFit="1" customWidth="1"/>
    <col min="6" max="36" width="7.140625" bestFit="1" customWidth="1"/>
  </cols>
  <sheetData>
    <row r="3" spans="1:36" x14ac:dyDescent="0.25">
      <c r="B3" s="5" t="s">
        <v>0</v>
      </c>
      <c r="C3" s="5">
        <v>0.1</v>
      </c>
    </row>
    <row r="4" spans="1:36" x14ac:dyDescent="0.25">
      <c r="B4" s="5" t="s">
        <v>1</v>
      </c>
      <c r="C4" s="6">
        <f>C3/30</f>
        <v>3.3333333333333335E-3</v>
      </c>
    </row>
    <row r="5" spans="1:36" x14ac:dyDescent="0.25">
      <c r="B5" s="5" t="s">
        <v>2</v>
      </c>
      <c r="C5" s="6">
        <f>(C9*C8*C4^2)/(2*C10)</f>
        <v>0.4333333333333334</v>
      </c>
    </row>
    <row r="6" spans="1:36" x14ac:dyDescent="0.25">
      <c r="B6" s="5" t="s">
        <v>3</v>
      </c>
      <c r="C6" s="5">
        <v>60</v>
      </c>
      <c r="D6">
        <v>60.233333333333341</v>
      </c>
    </row>
    <row r="7" spans="1:36" x14ac:dyDescent="0.25">
      <c r="A7" s="3"/>
      <c r="B7" s="7"/>
      <c r="C7" s="7"/>
    </row>
    <row r="8" spans="1:36" x14ac:dyDescent="0.25">
      <c r="B8" s="5" t="s">
        <v>4</v>
      </c>
      <c r="C8" s="5">
        <v>460</v>
      </c>
    </row>
    <row r="9" spans="1:36" x14ac:dyDescent="0.25">
      <c r="B9" s="5" t="s">
        <v>5</v>
      </c>
      <c r="C9" s="5">
        <v>7800</v>
      </c>
    </row>
    <row r="10" spans="1:36" x14ac:dyDescent="0.25">
      <c r="B10" s="5" t="s">
        <v>6</v>
      </c>
      <c r="C10" s="5">
        <v>46</v>
      </c>
    </row>
    <row r="11" spans="1:36" x14ac:dyDescent="0.25">
      <c r="A11" s="3"/>
      <c r="B11" s="7"/>
      <c r="C11" s="7"/>
      <c r="D11" s="3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1:36" x14ac:dyDescent="0.25">
      <c r="B12" s="5" t="s">
        <v>8</v>
      </c>
      <c r="C12" s="5">
        <f>((C10*C13/C4)-(C16*C15))/((C10/C4)-C16)</f>
        <v>77.1875</v>
      </c>
      <c r="E12" t="s">
        <v>0</v>
      </c>
      <c r="F12" s="2">
        <v>0</v>
      </c>
      <c r="G12" s="2">
        <f>F12+$C$4</f>
        <v>3.3333333333333335E-3</v>
      </c>
      <c r="H12" s="2">
        <f t="shared" ref="H12:AJ12" si="0">G12+$C$4</f>
        <v>6.6666666666666671E-3</v>
      </c>
      <c r="I12" s="2">
        <f t="shared" si="0"/>
        <v>0.01</v>
      </c>
      <c r="J12" s="2">
        <f t="shared" si="0"/>
        <v>1.3333333333333334E-2</v>
      </c>
      <c r="K12" s="2">
        <f t="shared" si="0"/>
        <v>1.6666666666666666E-2</v>
      </c>
      <c r="L12" s="2">
        <f t="shared" si="0"/>
        <v>0.02</v>
      </c>
      <c r="M12" s="2">
        <f t="shared" si="0"/>
        <v>2.3333333333333334E-2</v>
      </c>
      <c r="N12" s="2">
        <f t="shared" si="0"/>
        <v>2.6666666666666668E-2</v>
      </c>
      <c r="O12" s="2">
        <f t="shared" si="0"/>
        <v>3.0000000000000002E-2</v>
      </c>
      <c r="P12" s="2">
        <f t="shared" si="0"/>
        <v>3.3333333333333333E-2</v>
      </c>
      <c r="Q12" s="2">
        <f t="shared" si="0"/>
        <v>3.6666666666666667E-2</v>
      </c>
      <c r="R12" s="2">
        <f t="shared" si="0"/>
        <v>0.04</v>
      </c>
      <c r="S12" s="2">
        <f t="shared" si="0"/>
        <v>4.3333333333333335E-2</v>
      </c>
      <c r="T12" s="2">
        <f t="shared" si="0"/>
        <v>4.6666666666666669E-2</v>
      </c>
      <c r="U12" s="2">
        <f t="shared" si="0"/>
        <v>0.05</v>
      </c>
      <c r="V12" s="2">
        <f t="shared" si="0"/>
        <v>5.3333333333333337E-2</v>
      </c>
      <c r="W12" s="2">
        <f t="shared" si="0"/>
        <v>5.6666666666666671E-2</v>
      </c>
      <c r="X12" s="2">
        <f t="shared" si="0"/>
        <v>6.0000000000000005E-2</v>
      </c>
      <c r="Y12" s="2">
        <f t="shared" si="0"/>
        <v>6.3333333333333339E-2</v>
      </c>
      <c r="Z12" s="2">
        <f t="shared" si="0"/>
        <v>6.6666666666666666E-2</v>
      </c>
      <c r="AA12" s="2">
        <f t="shared" si="0"/>
        <v>6.9999999999999993E-2</v>
      </c>
      <c r="AB12" s="2">
        <f t="shared" si="0"/>
        <v>7.333333333333332E-2</v>
      </c>
      <c r="AC12" s="2">
        <f t="shared" si="0"/>
        <v>7.6666666666666647E-2</v>
      </c>
      <c r="AD12" s="2">
        <f t="shared" si="0"/>
        <v>7.9999999999999974E-2</v>
      </c>
      <c r="AE12" s="2">
        <f t="shared" si="0"/>
        <v>8.3333333333333301E-2</v>
      </c>
      <c r="AF12" s="2">
        <f t="shared" si="0"/>
        <v>8.6666666666666628E-2</v>
      </c>
      <c r="AG12" s="2">
        <f t="shared" si="0"/>
        <v>8.9999999999999955E-2</v>
      </c>
      <c r="AH12" s="2">
        <f t="shared" si="0"/>
        <v>9.3333333333333282E-2</v>
      </c>
      <c r="AI12" s="2">
        <f t="shared" si="0"/>
        <v>9.6666666666666609E-2</v>
      </c>
      <c r="AJ12" s="2">
        <f t="shared" si="0"/>
        <v>9.9999999999999936E-2</v>
      </c>
    </row>
    <row r="13" spans="1:36" x14ac:dyDescent="0.25">
      <c r="B13" s="5" t="s">
        <v>9</v>
      </c>
      <c r="C13" s="5">
        <v>100</v>
      </c>
      <c r="E13" t="s">
        <v>7</v>
      </c>
      <c r="F13" s="4">
        <f>C12</f>
        <v>77.1875</v>
      </c>
      <c r="G13" s="4">
        <v>72.531817971600219</v>
      </c>
      <c r="H13" s="4">
        <v>67.876135943200438</v>
      </c>
      <c r="I13" s="4">
        <v>63.451800534406949</v>
      </c>
      <c r="J13" s="4">
        <v>59.027465125613467</v>
      </c>
      <c r="K13" s="4">
        <v>55.055898151838484</v>
      </c>
      <c r="L13" s="4">
        <v>51.084331178063522</v>
      </c>
      <c r="M13" s="4">
        <v>47.767789111604948</v>
      </c>
      <c r="N13" s="4">
        <v>44.451247045146403</v>
      </c>
      <c r="O13" s="4">
        <v>41.964768068314577</v>
      </c>
      <c r="P13" s="4">
        <v>39.478289091482765</v>
      </c>
      <c r="Q13" s="4">
        <v>37.963044190616529</v>
      </c>
      <c r="R13" s="4">
        <v>36.447799289750286</v>
      </c>
      <c r="S13" s="4">
        <v>36.005790597743243</v>
      </c>
      <c r="T13" s="4">
        <v>35.563781905736199</v>
      </c>
      <c r="U13" s="4">
        <v>36.253687097568275</v>
      </c>
      <c r="V13" s="4">
        <v>36.943592289400357</v>
      </c>
      <c r="W13" s="4">
        <v>38.777600853032318</v>
      </c>
      <c r="X13" s="4">
        <v>40.61160941666428</v>
      </c>
      <c r="Y13" s="4">
        <v>43.553316691494423</v>
      </c>
      <c r="Z13" s="4">
        <v>46.495023966324567</v>
      </c>
      <c r="AA13" s="4">
        <v>50.458745956416806</v>
      </c>
      <c r="AB13" s="4">
        <v>54.422467946509052</v>
      </c>
      <c r="AC13" s="4">
        <v>59.274575013101398</v>
      </c>
      <c r="AD13" s="4">
        <v>64.126682079693765</v>
      </c>
      <c r="AE13" s="4">
        <v>69.689593861635913</v>
      </c>
      <c r="AF13" s="4">
        <v>75.252505643578104</v>
      </c>
      <c r="AG13" s="4">
        <v>81.311776180612398</v>
      </c>
      <c r="AH13" s="4">
        <v>87.371046717646735</v>
      </c>
      <c r="AI13" s="4">
        <v>93.68552335882336</v>
      </c>
      <c r="AJ13" s="4">
        <f>C13</f>
        <v>100</v>
      </c>
    </row>
    <row r="15" spans="1:36" x14ac:dyDescent="0.25">
      <c r="B15" s="8" t="s">
        <v>11</v>
      </c>
      <c r="C15">
        <v>392</v>
      </c>
      <c r="E15" t="s">
        <v>10</v>
      </c>
      <c r="G15" s="4">
        <f t="shared" ref="G15:AI15" si="1">G13+(($C$10*$C$5)/($C$9*$C$8))*((H13-2*G13+F13)/($C$4^2))</f>
        <v>72.531817971600219</v>
      </c>
      <c r="H15" s="4">
        <f t="shared" si="1"/>
        <v>67.991809253003581</v>
      </c>
      <c r="I15" s="4">
        <f t="shared" si="1"/>
        <v>63.451800534406949</v>
      </c>
      <c r="J15" s="4">
        <f t="shared" si="1"/>
        <v>59.253849343122717</v>
      </c>
      <c r="K15" s="4">
        <f t="shared" si="1"/>
        <v>55.055898151838491</v>
      </c>
      <c r="L15" s="4">
        <f t="shared" si="1"/>
        <v>51.411843631721716</v>
      </c>
      <c r="M15" s="4">
        <f t="shared" si="1"/>
        <v>47.767789111604962</v>
      </c>
      <c r="N15" s="4">
        <f t="shared" si="1"/>
        <v>44.866278589959762</v>
      </c>
      <c r="O15" s="4">
        <f t="shared" si="1"/>
        <v>41.964768068314584</v>
      </c>
      <c r="P15" s="4">
        <f t="shared" si="1"/>
        <v>39.963906129465556</v>
      </c>
      <c r="Q15" s="4">
        <f t="shared" si="1"/>
        <v>37.963044190616529</v>
      </c>
      <c r="R15" s="4">
        <f t="shared" si="1"/>
        <v>36.984417394179886</v>
      </c>
      <c r="S15" s="4">
        <f t="shared" si="1"/>
        <v>36.005790597743243</v>
      </c>
      <c r="T15" s="4">
        <f t="shared" si="1"/>
        <v>36.129738847655759</v>
      </c>
      <c r="U15" s="4">
        <f t="shared" si="1"/>
        <v>36.253687097568275</v>
      </c>
      <c r="V15" s="4">
        <f t="shared" si="1"/>
        <v>37.515643975300293</v>
      </c>
      <c r="W15" s="4">
        <f t="shared" si="1"/>
        <v>38.777600853032318</v>
      </c>
      <c r="X15" s="4">
        <f t="shared" si="1"/>
        <v>41.165458772263371</v>
      </c>
      <c r="Y15" s="4">
        <f t="shared" si="1"/>
        <v>43.553316691494423</v>
      </c>
      <c r="Z15" s="4">
        <f t="shared" si="1"/>
        <v>47.006031323955611</v>
      </c>
      <c r="AA15" s="4">
        <f t="shared" si="1"/>
        <v>50.458745956416806</v>
      </c>
      <c r="AB15" s="4">
        <f t="shared" si="1"/>
        <v>54.866660484759102</v>
      </c>
      <c r="AC15" s="4">
        <f t="shared" si="1"/>
        <v>59.274575013101412</v>
      </c>
      <c r="AD15" s="4">
        <f t="shared" si="1"/>
        <v>64.482084437368655</v>
      </c>
      <c r="AE15" s="4">
        <f t="shared" si="1"/>
        <v>69.689593861635927</v>
      </c>
      <c r="AF15" s="4">
        <f t="shared" si="1"/>
        <v>75.500685021124156</v>
      </c>
      <c r="AG15" s="4">
        <f t="shared" si="1"/>
        <v>81.311776180612412</v>
      </c>
      <c r="AH15" s="4">
        <f t="shared" si="1"/>
        <v>87.498649769717872</v>
      </c>
      <c r="AI15" s="4">
        <f t="shared" si="1"/>
        <v>93.68552335882336</v>
      </c>
      <c r="AJ15" s="4"/>
    </row>
    <row r="16" spans="1:36" x14ac:dyDescent="0.25">
      <c r="B16" s="8" t="s">
        <v>12</v>
      </c>
      <c r="C16">
        <v>1000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2021-09-23T17:14:50Z</dcterms:modified>
</cp:coreProperties>
</file>