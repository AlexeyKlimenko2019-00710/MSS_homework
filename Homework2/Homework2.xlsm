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2260" windowHeight="12645" activeTab="1"/>
  </bookViews>
  <sheets>
    <sheet name="Явная схема" sheetId="1" r:id="rId1"/>
    <sheet name="Неявная схема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3" l="1"/>
  <c r="AJ14" i="3"/>
  <c r="G11" i="3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C2" i="3"/>
  <c r="C4" i="3" s="1"/>
  <c r="AI20" i="3" l="1"/>
  <c r="AA20" i="3"/>
  <c r="S20" i="3"/>
  <c r="K20" i="3"/>
  <c r="G4" i="3"/>
  <c r="V20" i="3"/>
  <c r="AH20" i="3"/>
  <c r="Z20" i="3"/>
  <c r="R20" i="3"/>
  <c r="J20" i="3"/>
  <c r="N20" i="3"/>
  <c r="AG20" i="3"/>
  <c r="Y20" i="3"/>
  <c r="Q20" i="3"/>
  <c r="I20" i="3"/>
  <c r="AC20" i="3"/>
  <c r="AF20" i="3"/>
  <c r="X20" i="3"/>
  <c r="P20" i="3"/>
  <c r="H20" i="3"/>
  <c r="AE20" i="3"/>
  <c r="W20" i="3"/>
  <c r="O20" i="3"/>
  <c r="G20" i="3"/>
  <c r="AD20" i="3"/>
  <c r="F20" i="3"/>
  <c r="U20" i="3"/>
  <c r="M20" i="3"/>
  <c r="AB20" i="3"/>
  <c r="T20" i="3"/>
  <c r="L20" i="3"/>
  <c r="C15" i="3"/>
  <c r="C16" i="3"/>
  <c r="C17" i="3" l="1"/>
  <c r="G19" i="3" s="1"/>
  <c r="G18" i="3" l="1"/>
  <c r="H18" i="3"/>
  <c r="I18" i="3" l="1"/>
  <c r="H19" i="3"/>
  <c r="I19" i="3" s="1"/>
  <c r="J19" i="3" s="1"/>
  <c r="J18" i="3" l="1"/>
  <c r="K19" i="3"/>
  <c r="K18" i="3" l="1"/>
  <c r="L18" i="3" l="1"/>
  <c r="L19" i="3"/>
  <c r="M19" i="3" s="1"/>
  <c r="M18" i="3" l="1"/>
  <c r="N18" i="3" l="1"/>
  <c r="N19" i="3"/>
  <c r="O19" i="3" s="1"/>
  <c r="O18" i="3" l="1"/>
  <c r="P18" i="3" l="1"/>
  <c r="P19" i="3"/>
  <c r="Q19" i="3" s="1"/>
  <c r="Q18" i="3" l="1"/>
  <c r="R18" i="3" l="1"/>
  <c r="R19" i="3"/>
  <c r="S19" i="3" s="1"/>
  <c r="S18" i="3" l="1"/>
  <c r="T18" i="3" l="1"/>
  <c r="T19" i="3"/>
  <c r="U19" i="3" s="1"/>
  <c r="U18" i="3" l="1"/>
  <c r="V18" i="3" l="1"/>
  <c r="V19" i="3"/>
  <c r="W19" i="3" s="1"/>
  <c r="X19" i="3" l="1"/>
  <c r="W18" i="3"/>
  <c r="Y19" i="3" l="1"/>
  <c r="X18" i="3"/>
  <c r="Y18" i="3" l="1"/>
  <c r="Z18" i="3" l="1"/>
  <c r="Z19" i="3"/>
  <c r="AA19" i="3" s="1"/>
  <c r="AJ13" i="1"/>
  <c r="C2" i="1"/>
  <c r="AA18" i="3" l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AB18" i="3" l="1"/>
  <c r="AB19" i="3"/>
  <c r="AC19" i="3" s="1"/>
  <c r="AH15" i="1"/>
  <c r="AD15" i="1"/>
  <c r="Z15" i="1"/>
  <c r="V15" i="1"/>
  <c r="R15" i="1"/>
  <c r="N15" i="1"/>
  <c r="J15" i="1"/>
  <c r="I15" i="1"/>
  <c r="M15" i="1"/>
  <c r="Q15" i="1"/>
  <c r="U15" i="1"/>
  <c r="Y15" i="1"/>
  <c r="AC15" i="1"/>
  <c r="AG15" i="1"/>
  <c r="AF15" i="1"/>
  <c r="AB15" i="1"/>
  <c r="X15" i="1"/>
  <c r="T15" i="1"/>
  <c r="P15" i="1"/>
  <c r="L15" i="1"/>
  <c r="H15" i="1"/>
  <c r="K15" i="1"/>
  <c r="O15" i="1"/>
  <c r="S15" i="1"/>
  <c r="W15" i="1"/>
  <c r="AA15" i="1"/>
  <c r="AE15" i="1"/>
  <c r="AI15" i="1"/>
  <c r="G15" i="1"/>
  <c r="AC18" i="3" l="1"/>
  <c r="AD18" i="3" l="1"/>
  <c r="AD19" i="3"/>
  <c r="AE19" i="3" s="1"/>
  <c r="AE18" i="3" l="1"/>
  <c r="AF18" i="3" l="1"/>
  <c r="AF19" i="3"/>
  <c r="AG19" i="3" s="1"/>
  <c r="AG18" i="3" l="1"/>
  <c r="AH18" i="3" l="1"/>
  <c r="AH19" i="3"/>
  <c r="AI19" i="3" s="1"/>
  <c r="AI18" i="3" l="1"/>
  <c r="AI14" i="3" s="1"/>
  <c r="AH14" i="3" s="1"/>
  <c r="AG14" i="3" s="1"/>
  <c r="AF14" i="3" s="1"/>
  <c r="AE14" i="3" s="1"/>
  <c r="AD14" i="3" s="1"/>
  <c r="AC14" i="3" s="1"/>
  <c r="AB14" i="3" s="1"/>
  <c r="AA14" i="3" s="1"/>
  <c r="Z14" i="3" s="1"/>
  <c r="Y14" i="3" s="1"/>
  <c r="X14" i="3" s="1"/>
  <c r="W14" i="3" s="1"/>
  <c r="V14" i="3" s="1"/>
  <c r="U14" i="3" s="1"/>
  <c r="T14" i="3" s="1"/>
  <c r="S14" i="3" s="1"/>
  <c r="R14" i="3" s="1"/>
  <c r="Q14" i="3" s="1"/>
  <c r="P14" i="3" s="1"/>
  <c r="O14" i="3" s="1"/>
  <c r="N14" i="3" s="1"/>
  <c r="M14" i="3" s="1"/>
  <c r="L14" i="3" s="1"/>
  <c r="K14" i="3" s="1"/>
  <c r="J14" i="3" s="1"/>
  <c r="I14" i="3" s="1"/>
  <c r="H14" i="3" s="1"/>
  <c r="G14" i="3" s="1"/>
</calcChain>
</file>

<file path=xl/sharedStrings.xml><?xml version="1.0" encoding="utf-8"?>
<sst xmlns="http://schemas.openxmlformats.org/spreadsheetml/2006/main" count="32" uniqueCount="20">
  <si>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</si>
  <si>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</si>
  <si>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</si>
  <si>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</si>
  <si>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</si>
  <si>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</si>
  <si>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</si>
  <si>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</si>
  <si>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</si>
  <si>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</si>
  <si>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</si>
  <si>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lamda</t>
  </si>
  <si>
    <t>A</t>
  </si>
  <si>
    <t>B</t>
  </si>
  <si>
    <t>C</t>
  </si>
  <si>
    <t>X</t>
  </si>
  <si>
    <t>q</t>
  </si>
  <si>
    <t>F</t>
  </si>
  <si>
    <t>alpha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</si>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</sst>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0" xfId="0" applyNumberFormat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4540682414698"/>
          <c:y val="2.9675925925925925E-2"/>
          <c:w val="0.82806714785651792"/>
          <c:h val="0.89435185185185184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26-4D31-A6F0-EE6AB12EE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6608"/>
        <c:axId val="292354432"/>
      </c:scatterChart>
      <c:valAx>
        <c:axId val="2923566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4432"/>
        <c:crosses val="autoZero"/>
        <c:crossBetween val="midCat"/>
      </c:valAx>
      <c:valAx>
        <c:axId val="292354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</c:dPt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3888"/>
        <c:axId val="292356064"/>
      </c:scatterChart>
      <c:valAx>
        <c:axId val="292353888"/>
        <c:scaling>
          <c:orientation val="minMax"/>
          <c:max val="8.000000000000001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6064"/>
        <c:crosses val="autoZero"/>
        <c:crossBetween val="midCat"/>
        <c:majorUnit val="2.0000000000000004E-2"/>
      </c:valAx>
      <c:valAx>
        <c:axId val="292356064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24"/>
            <c:marker>
              <c:symbol val="none"/>
            </c:marker>
            <c:bubble3D val="0"/>
          </c:dPt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55520"/>
        <c:axId val="292360960"/>
      </c:scatterChart>
      <c:valAx>
        <c:axId val="29235552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60960"/>
        <c:crosses val="autoZero"/>
        <c:crossBetween val="midCat"/>
        <c:majorUnit val="2.0000000000000004E-2"/>
      </c:valAx>
      <c:valAx>
        <c:axId val="292360960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35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612321</xdr:colOff>
      <xdr:row>19</xdr:row>
      <xdr:rowOff>29934</xdr:rowOff>
    </xdr:from>
    <xdr:to>
      <xdr:col>12</xdr:col>
      <xdr:colOff>326570</xdr:colOff>
      <xdr:row>37</xdr:row>
      <xdr:rowOff>136071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590550</xdr:colOff>
      <xdr:row>19</xdr:row>
      <xdr:rowOff>73479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107871" y="36929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107871" y="369297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11</xdr:col>
      <xdr:colOff>285750</xdr:colOff>
      <xdr:row>36</xdr:row>
      <xdr:rowOff>54428</xdr:rowOff>
    </xdr:from>
    <xdr:ext cx="542521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6272893" y="6912428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𝒕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6272893" y="6912428"/>
              <a:ext cx="542521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𝒕, 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571498</xdr:colOff>
      <xdr:row>21</xdr:row>
      <xdr:rowOff>39290</xdr:rowOff>
    </xdr:from>
    <xdr:to>
      <xdr:col>12</xdr:col>
      <xdr:colOff>83343</xdr:colOff>
      <xdr:row>41</xdr:row>
      <xdr:rowOff>119062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142875</xdr:colOff>
      <xdr:row>22</xdr:row>
      <xdr:rowOff>166687</xdr:rowOff>
    </xdr:from>
    <xdr:to>
      <xdr:col>22</xdr:col>
      <xdr:colOff>261938</xdr:colOff>
      <xdr:row>43</xdr:row>
      <xdr:rowOff>55959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452437</xdr:colOff>
      <xdr:row>21</xdr:row>
      <xdr:rowOff>35719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2881312" y="403621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881312" y="403621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15</xdr:col>
      <xdr:colOff>119064</xdr:colOff>
      <xdr:row>22</xdr:row>
      <xdr:rowOff>130969</xdr:rowOff>
    </xdr:from>
    <xdr:ext cx="524311" cy="3211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9227345" y="432196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9227345" y="4321969"/>
              <a:ext cx="524311" cy="32112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𝑻, 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11</xdr:col>
      <xdr:colOff>154782</xdr:colOff>
      <xdr:row>40</xdr:row>
      <xdr:rowOff>71438</xdr:rowOff>
    </xdr:from>
    <xdr:ext cx="57259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834188" y="7691438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834188" y="7691438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𝐋, [𝒎]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21</xdr:col>
      <xdr:colOff>309563</xdr:colOff>
      <xdr:row>41</xdr:row>
      <xdr:rowOff>166687</xdr:rowOff>
    </xdr:from>
    <xdr:ext cx="572593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061157" y="7977187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panose="02040503050406030204" pitchFamily="18" charset="0"/>
                      </a:rPr>
                      <m:t>𝐋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𝒎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061157" y="7977187"/>
              <a:ext cx="572593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𝐋, 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7"/>
  <sheetViews>
    <sheetView zoomScale="70" zoomScaleNormal="70" workbookViewId="0">
      <selection activeCell="R50" sqref="R50"/>
    </sheetView>
  </sheetViews>
  <sheetFormatPr defaultRowHeight="15" x14ac:dyDescent="0.25"/>
  <cols>
    <col min="3" max="3" width="10.140625" bestFit="1" customWidth="1"/>
    <col min="6" max="36" width="7.140625" bestFit="1" customWidth="1"/>
  </cols>
  <sheetData>
    <row r="1" spans="1:36" x14ac:dyDescent="0.25">
      <c r="B1" s="4" t="s">
        <v>0</v>
      </c>
      <c r="C1" s="4">
        <v>0.1</v>
      </c>
    </row>
    <row r="2" spans="1:36" x14ac:dyDescent="0.25">
      <c r="B2" s="4" t="s">
        <v>1</v>
      </c>
      <c r="C2" s="5">
        <f>C1/30</f>
        <v>3.3333333333333335E-3</v>
      </c>
    </row>
    <row r="3" spans="1:36" x14ac:dyDescent="0.25">
      <c r="B3" s="4" t="s">
        <v>3</v>
      </c>
      <c r="C3" s="4">
        <v>60</v>
      </c>
    </row>
    <row r="4" spans="1:36" x14ac:dyDescent="0.25">
      <c r="B4" s="4" t="s">
        <v>2</v>
      </c>
      <c r="C4" s="5">
        <f>(C7*C6*C2^2)/(2*C8)</f>
        <v>0.4333333333333334</v>
      </c>
      <c r="D4">
        <v>60.233333333333341</v>
      </c>
    </row>
    <row r="5" spans="1:36" x14ac:dyDescent="0.25">
      <c r="B5" s="6"/>
      <c r="C5" s="6"/>
    </row>
    <row r="6" spans="1:36" x14ac:dyDescent="0.25">
      <c r="B6" s="4" t="s">
        <v>4</v>
      </c>
      <c r="C6" s="4">
        <v>460</v>
      </c>
    </row>
    <row r="7" spans="1:36" x14ac:dyDescent="0.25">
      <c r="A7" s="2"/>
      <c r="B7" s="4" t="s">
        <v>5</v>
      </c>
      <c r="C7" s="4">
        <v>7800</v>
      </c>
    </row>
    <row r="8" spans="1:36" x14ac:dyDescent="0.25">
      <c r="B8" s="4" t="s">
        <v>6</v>
      </c>
      <c r="C8" s="4">
        <v>46</v>
      </c>
    </row>
    <row r="9" spans="1:36" x14ac:dyDescent="0.25">
      <c r="B9" s="6"/>
      <c r="C9" s="6"/>
    </row>
    <row r="11" spans="1:36" x14ac:dyDescent="0.25">
      <c r="A11" s="2"/>
      <c r="B11" s="4" t="s">
        <v>8</v>
      </c>
      <c r="C11" s="4">
        <v>300</v>
      </c>
      <c r="D11" s="2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4" t="s">
        <v>9</v>
      </c>
      <c r="C12" s="4">
        <v>100</v>
      </c>
      <c r="E12" t="s">
        <v>15</v>
      </c>
      <c r="F12" s="9">
        <v>0</v>
      </c>
      <c r="G12" s="9">
        <f t="shared" ref="G12:AJ12" si="0">F12+$C$2</f>
        <v>3.3333333333333335E-3</v>
      </c>
      <c r="H12" s="9">
        <f t="shared" si="0"/>
        <v>6.6666666666666671E-3</v>
      </c>
      <c r="I12" s="9">
        <f t="shared" si="0"/>
        <v>0.01</v>
      </c>
      <c r="J12" s="9">
        <f t="shared" si="0"/>
        <v>1.3333333333333334E-2</v>
      </c>
      <c r="K12" s="9">
        <f t="shared" si="0"/>
        <v>1.6666666666666666E-2</v>
      </c>
      <c r="L12" s="9">
        <f t="shared" si="0"/>
        <v>0.02</v>
      </c>
      <c r="M12" s="9">
        <f t="shared" si="0"/>
        <v>2.3333333333333334E-2</v>
      </c>
      <c r="N12" s="9">
        <f t="shared" si="0"/>
        <v>2.6666666666666668E-2</v>
      </c>
      <c r="O12" s="9">
        <f t="shared" si="0"/>
        <v>3.0000000000000002E-2</v>
      </c>
      <c r="P12" s="9">
        <f t="shared" si="0"/>
        <v>3.3333333333333333E-2</v>
      </c>
      <c r="Q12" s="9">
        <f t="shared" si="0"/>
        <v>3.6666666666666667E-2</v>
      </c>
      <c r="R12" s="9">
        <f t="shared" si="0"/>
        <v>0.04</v>
      </c>
      <c r="S12" s="9">
        <f t="shared" si="0"/>
        <v>4.3333333333333335E-2</v>
      </c>
      <c r="T12" s="9">
        <f t="shared" si="0"/>
        <v>4.6666666666666669E-2</v>
      </c>
      <c r="U12" s="9">
        <f t="shared" si="0"/>
        <v>0.05</v>
      </c>
      <c r="V12" s="9">
        <f t="shared" si="0"/>
        <v>5.3333333333333337E-2</v>
      </c>
      <c r="W12" s="9">
        <f t="shared" si="0"/>
        <v>5.6666666666666671E-2</v>
      </c>
      <c r="X12" s="9">
        <f t="shared" si="0"/>
        <v>6.0000000000000005E-2</v>
      </c>
      <c r="Y12" s="9">
        <f t="shared" si="0"/>
        <v>6.3333333333333339E-2</v>
      </c>
      <c r="Z12" s="9">
        <f t="shared" si="0"/>
        <v>6.6666666666666666E-2</v>
      </c>
      <c r="AA12" s="9">
        <f t="shared" si="0"/>
        <v>6.9999999999999993E-2</v>
      </c>
      <c r="AB12" s="9">
        <f t="shared" si="0"/>
        <v>7.333333333333332E-2</v>
      </c>
      <c r="AC12" s="9">
        <f t="shared" si="0"/>
        <v>7.6666666666666647E-2</v>
      </c>
      <c r="AD12" s="9">
        <f t="shared" si="0"/>
        <v>7.9999999999999974E-2</v>
      </c>
      <c r="AE12" s="9">
        <f t="shared" si="0"/>
        <v>8.3333333333333301E-2</v>
      </c>
      <c r="AF12" s="9">
        <f t="shared" si="0"/>
        <v>8.6666666666666628E-2</v>
      </c>
      <c r="AG12" s="9">
        <f t="shared" si="0"/>
        <v>8.9999999999999955E-2</v>
      </c>
      <c r="AH12" s="9">
        <f t="shared" si="0"/>
        <v>9.3333333333333282E-2</v>
      </c>
      <c r="AI12" s="9">
        <f t="shared" si="0"/>
        <v>9.6666666666666609E-2</v>
      </c>
      <c r="AJ12" s="9">
        <f t="shared" si="0"/>
        <v>9.9999999999999936E-2</v>
      </c>
    </row>
    <row r="13" spans="1:36" x14ac:dyDescent="0.25">
      <c r="E13" t="s">
        <v>7</v>
      </c>
      <c r="F13" s="3">
        <f>C11</f>
        <v>300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f>C12</f>
        <v>100</v>
      </c>
    </row>
    <row r="14" spans="1:36" x14ac:dyDescent="0.25">
      <c r="B14" s="7"/>
    </row>
    <row r="15" spans="1:36" x14ac:dyDescent="0.25">
      <c r="B15" s="7"/>
      <c r="E15" t="s">
        <v>10</v>
      </c>
      <c r="G15" s="3">
        <f t="shared" ref="G15:AI15" si="1">G13+(($C$8*$C$4)/($C$7*$C$6))*((H13-2*G13+F13)/($C$2^2))</f>
        <v>150</v>
      </c>
      <c r="H15" s="3">
        <f t="shared" si="1"/>
        <v>0</v>
      </c>
      <c r="I15" s="3">
        <f t="shared" si="1"/>
        <v>0</v>
      </c>
      <c r="J15" s="3">
        <f t="shared" si="1"/>
        <v>0</v>
      </c>
      <c r="K15" s="3">
        <f t="shared" si="1"/>
        <v>0</v>
      </c>
      <c r="L15" s="3">
        <f t="shared" si="1"/>
        <v>0</v>
      </c>
      <c r="M15" s="3">
        <f t="shared" si="1"/>
        <v>0</v>
      </c>
      <c r="N15" s="3">
        <f t="shared" si="1"/>
        <v>0</v>
      </c>
      <c r="O15" s="3">
        <f t="shared" si="1"/>
        <v>0</v>
      </c>
      <c r="P15" s="3">
        <f t="shared" si="1"/>
        <v>0</v>
      </c>
      <c r="Q15" s="3">
        <f t="shared" si="1"/>
        <v>0</v>
      </c>
      <c r="R15" s="3">
        <f t="shared" si="1"/>
        <v>0</v>
      </c>
      <c r="S15" s="3">
        <f t="shared" si="1"/>
        <v>0</v>
      </c>
      <c r="T15" s="3">
        <f t="shared" si="1"/>
        <v>0</v>
      </c>
      <c r="U15" s="3">
        <f t="shared" si="1"/>
        <v>0</v>
      </c>
      <c r="V15" s="3">
        <f t="shared" si="1"/>
        <v>0</v>
      </c>
      <c r="W15" s="3">
        <f t="shared" si="1"/>
        <v>0</v>
      </c>
      <c r="X15" s="3">
        <f t="shared" si="1"/>
        <v>0</v>
      </c>
      <c r="Y15" s="3">
        <f t="shared" si="1"/>
        <v>0</v>
      </c>
      <c r="Z15" s="3">
        <f t="shared" si="1"/>
        <v>0</v>
      </c>
      <c r="AA15" s="3">
        <f t="shared" si="1"/>
        <v>0</v>
      </c>
      <c r="AB15" s="3">
        <f t="shared" si="1"/>
        <v>0</v>
      </c>
      <c r="AC15" s="3">
        <f t="shared" si="1"/>
        <v>0</v>
      </c>
      <c r="AD15" s="3">
        <f t="shared" si="1"/>
        <v>0</v>
      </c>
      <c r="AE15" s="3">
        <f t="shared" si="1"/>
        <v>0</v>
      </c>
      <c r="AF15" s="3">
        <f t="shared" si="1"/>
        <v>0</v>
      </c>
      <c r="AG15" s="3">
        <f t="shared" si="1"/>
        <v>0</v>
      </c>
      <c r="AH15" s="3">
        <f t="shared" si="1"/>
        <v>0</v>
      </c>
      <c r="AI15" s="3">
        <f t="shared" si="1"/>
        <v>50</v>
      </c>
      <c r="AJ15" s="3"/>
    </row>
    <row r="17" spans="5:5" x14ac:dyDescent="0.25">
      <c r="E17" t="s">
        <v>16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9"/>
  <sheetViews>
    <sheetView tabSelected="1" zoomScale="80" zoomScaleNormal="80" workbookViewId="0">
      <selection activeCell="X44" sqref="X44"/>
    </sheetView>
  </sheetViews>
  <sheetFormatPr defaultRowHeight="15" x14ac:dyDescent="0.25"/>
  <sheetData>
    <row r="1" spans="1:37" x14ac:dyDescent="0.25">
      <c r="B1" s="4" t="s">
        <v>0</v>
      </c>
      <c r="C1" s="4">
        <v>0.1</v>
      </c>
      <c r="AK1" s="2"/>
    </row>
    <row r="2" spans="1:37" x14ac:dyDescent="0.25">
      <c r="B2" s="4" t="s">
        <v>1</v>
      </c>
      <c r="C2" s="5">
        <f>C1/30</f>
        <v>3.3333333333333335E-3</v>
      </c>
      <c r="AK2" s="2"/>
    </row>
    <row r="3" spans="1:37" x14ac:dyDescent="0.25">
      <c r="B3" s="4" t="s">
        <v>3</v>
      </c>
      <c r="C3" s="10">
        <v>60</v>
      </c>
      <c r="AK3" s="2"/>
    </row>
    <row r="4" spans="1:37" x14ac:dyDescent="0.25">
      <c r="B4" s="4" t="s">
        <v>2</v>
      </c>
      <c r="C4" s="11">
        <f>(C8*C7*C2^2)/(2*C9)</f>
        <v>0.4333333333333334</v>
      </c>
      <c r="D4">
        <v>60.233333333333341</v>
      </c>
      <c r="G4" s="12">
        <f>C3/C4</f>
        <v>138.46153846153845</v>
      </c>
      <c r="AK4" s="2"/>
    </row>
    <row r="5" spans="1:37" x14ac:dyDescent="0.25">
      <c r="A5" s="2"/>
      <c r="B5" s="6"/>
      <c r="C5" s="6"/>
      <c r="D5" s="2"/>
      <c r="AK5" s="2"/>
    </row>
    <row r="6" spans="1:37" x14ac:dyDescent="0.25">
      <c r="AK6" s="2"/>
    </row>
    <row r="7" spans="1:37" x14ac:dyDescent="0.25">
      <c r="B7" s="4" t="s">
        <v>4</v>
      </c>
      <c r="C7" s="4">
        <v>460</v>
      </c>
      <c r="AK7" s="2"/>
    </row>
    <row r="8" spans="1:37" x14ac:dyDescent="0.25">
      <c r="B8" s="4" t="s">
        <v>5</v>
      </c>
      <c r="C8" s="4">
        <v>7800</v>
      </c>
      <c r="AK8" s="2"/>
    </row>
    <row r="9" spans="1:37" x14ac:dyDescent="0.25">
      <c r="B9" s="4" t="s">
        <v>11</v>
      </c>
      <c r="C9" s="4">
        <v>46</v>
      </c>
      <c r="AK9" s="2"/>
    </row>
    <row r="10" spans="1:37" x14ac:dyDescent="0.25">
      <c r="B10" s="6"/>
      <c r="C10" s="6"/>
      <c r="F10" s="4">
        <v>1</v>
      </c>
      <c r="G10" s="4">
        <v>2</v>
      </c>
      <c r="H10" s="4">
        <v>3</v>
      </c>
      <c r="I10" s="4">
        <v>4</v>
      </c>
      <c r="J10" s="4">
        <v>5</v>
      </c>
      <c r="K10" s="4">
        <v>6</v>
      </c>
      <c r="L10" s="4">
        <v>7</v>
      </c>
      <c r="M10" s="4">
        <v>8</v>
      </c>
      <c r="N10" s="4">
        <v>9</v>
      </c>
      <c r="O10" s="4">
        <v>10</v>
      </c>
      <c r="P10" s="4">
        <v>11</v>
      </c>
      <c r="Q10" s="4">
        <v>12</v>
      </c>
      <c r="R10" s="4">
        <v>13</v>
      </c>
      <c r="S10" s="4">
        <v>14</v>
      </c>
      <c r="T10" s="4">
        <v>15</v>
      </c>
      <c r="U10" s="4">
        <v>16</v>
      </c>
      <c r="V10" s="4">
        <v>17</v>
      </c>
      <c r="W10" s="4">
        <v>18</v>
      </c>
      <c r="X10" s="4">
        <v>19</v>
      </c>
      <c r="Y10" s="4">
        <v>20</v>
      </c>
      <c r="Z10" s="4">
        <v>21</v>
      </c>
      <c r="AA10" s="4">
        <v>22</v>
      </c>
      <c r="AB10" s="4">
        <v>23</v>
      </c>
      <c r="AC10" s="4">
        <v>24</v>
      </c>
      <c r="AD10" s="4">
        <v>25</v>
      </c>
      <c r="AE10" s="4">
        <v>26</v>
      </c>
      <c r="AF10" s="4">
        <v>27</v>
      </c>
      <c r="AG10" s="4">
        <v>28</v>
      </c>
      <c r="AH10" s="4">
        <v>29</v>
      </c>
      <c r="AI10" s="4">
        <v>30</v>
      </c>
      <c r="AJ10" s="4">
        <v>31</v>
      </c>
      <c r="AK10" s="2"/>
    </row>
    <row r="11" spans="1:37" x14ac:dyDescent="0.25">
      <c r="E11" t="s">
        <v>0</v>
      </c>
      <c r="F11" s="8">
        <v>0</v>
      </c>
      <c r="G11" s="8">
        <f>F11+$C$2</f>
        <v>3.3333333333333335E-3</v>
      </c>
      <c r="H11" s="8">
        <f t="shared" ref="H11:AJ11" si="0">G11+$C$2</f>
        <v>6.6666666666666671E-3</v>
      </c>
      <c r="I11" s="8">
        <f t="shared" si="0"/>
        <v>0.01</v>
      </c>
      <c r="J11" s="8">
        <f t="shared" si="0"/>
        <v>1.3333333333333334E-2</v>
      </c>
      <c r="K11" s="8">
        <f t="shared" si="0"/>
        <v>1.6666666666666666E-2</v>
      </c>
      <c r="L11" s="8">
        <f t="shared" si="0"/>
        <v>0.02</v>
      </c>
      <c r="M11" s="8">
        <f t="shared" si="0"/>
        <v>2.3333333333333334E-2</v>
      </c>
      <c r="N11" s="8">
        <f t="shared" si="0"/>
        <v>2.6666666666666668E-2</v>
      </c>
      <c r="O11" s="8">
        <f t="shared" si="0"/>
        <v>3.0000000000000002E-2</v>
      </c>
      <c r="P11" s="8">
        <f t="shared" si="0"/>
        <v>3.3333333333333333E-2</v>
      </c>
      <c r="Q11" s="8">
        <f t="shared" si="0"/>
        <v>3.6666666666666667E-2</v>
      </c>
      <c r="R11" s="8">
        <f t="shared" si="0"/>
        <v>0.04</v>
      </c>
      <c r="S11" s="8">
        <f t="shared" si="0"/>
        <v>4.3333333333333335E-2</v>
      </c>
      <c r="T11" s="8">
        <f t="shared" si="0"/>
        <v>4.6666666666666669E-2</v>
      </c>
      <c r="U11" s="8">
        <f t="shared" si="0"/>
        <v>0.05</v>
      </c>
      <c r="V11" s="8">
        <f t="shared" si="0"/>
        <v>5.3333333333333337E-2</v>
      </c>
      <c r="W11" s="8">
        <f t="shared" si="0"/>
        <v>5.6666666666666671E-2</v>
      </c>
      <c r="X11" s="8">
        <f t="shared" si="0"/>
        <v>6.0000000000000005E-2</v>
      </c>
      <c r="Y11" s="8">
        <f t="shared" si="0"/>
        <v>6.3333333333333339E-2</v>
      </c>
      <c r="Z11" s="8">
        <f t="shared" si="0"/>
        <v>6.6666666666666666E-2</v>
      </c>
      <c r="AA11" s="8">
        <f t="shared" si="0"/>
        <v>6.9999999999999993E-2</v>
      </c>
      <c r="AB11" s="8">
        <f t="shared" si="0"/>
        <v>7.333333333333332E-2</v>
      </c>
      <c r="AC11" s="8">
        <f t="shared" si="0"/>
        <v>7.6666666666666647E-2</v>
      </c>
      <c r="AD11" s="8">
        <f t="shared" si="0"/>
        <v>7.9999999999999974E-2</v>
      </c>
      <c r="AE11" s="8">
        <f t="shared" si="0"/>
        <v>8.3333333333333301E-2</v>
      </c>
      <c r="AF11" s="8">
        <f t="shared" si="0"/>
        <v>8.6666666666666628E-2</v>
      </c>
      <c r="AG11" s="8">
        <f t="shared" si="0"/>
        <v>8.9999999999999955E-2</v>
      </c>
      <c r="AH11" s="8">
        <f t="shared" si="0"/>
        <v>9.3333333333333282E-2</v>
      </c>
      <c r="AI11" s="8">
        <f t="shared" si="0"/>
        <v>9.6666666666666609E-2</v>
      </c>
      <c r="AJ11" s="8">
        <f t="shared" si="0"/>
        <v>9.9999999999999936E-2</v>
      </c>
      <c r="AK11" s="2"/>
    </row>
    <row r="12" spans="1:37" x14ac:dyDescent="0.25">
      <c r="B12" s="4" t="s">
        <v>8</v>
      </c>
      <c r="C12" s="4">
        <v>300</v>
      </c>
      <c r="E12" t="s">
        <v>7</v>
      </c>
      <c r="F12" s="3">
        <v>300</v>
      </c>
      <c r="G12" s="3">
        <v>280.20114262798575</v>
      </c>
      <c r="H12" s="3">
        <v>260.57053452366904</v>
      </c>
      <c r="I12" s="3">
        <v>241.27335396752636</v>
      </c>
      <c r="J12" s="3">
        <v>222.46874067679317</v>
      </c>
      <c r="K12" s="3">
        <v>204.30702925674697</v>
      </c>
      <c r="L12" s="3">
        <v>186.92727013670742</v>
      </c>
      <c r="M12" s="3">
        <v>170.45510875086381</v>
      </c>
      <c r="N12" s="3">
        <v>155.00107463428773</v>
      </c>
      <c r="O12" s="3">
        <v>140.65931099015722</v>
      </c>
      <c r="P12" s="3">
        <v>127.5067536180474</v>
      </c>
      <c r="Q12" s="3">
        <v>115.60274732960713</v>
      </c>
      <c r="R12" s="3">
        <v>104.98906943559072</v>
      </c>
      <c r="S12" s="3">
        <v>95.690314648076594</v>
      </c>
      <c r="T12" s="3">
        <v>87.714584570723446</v>
      </c>
      <c r="U12" s="3">
        <v>81.054418255410752</v>
      </c>
      <c r="V12" s="3">
        <v>75.68789812172092</v>
      </c>
      <c r="W12" s="3">
        <v>71.579867553261167</v>
      </c>
      <c r="X12" s="3">
        <v>68.68320209085141</v>
      </c>
      <c r="Y12" s="3">
        <v>66.940084503407604</v>
      </c>
      <c r="Z12" s="3">
        <v>66.283244166503039</v>
      </c>
      <c r="AA12" s="3">
        <v>66.637132112902975</v>
      </c>
      <c r="AB12" s="3">
        <v>67.919013891339318</v>
      </c>
      <c r="AC12" s="3">
        <v>70.039972168091296</v>
      </c>
      <c r="AD12" s="3">
        <v>72.905819217013814</v>
      </c>
      <c r="AE12" s="3">
        <v>76.417925689672472</v>
      </c>
      <c r="AF12" s="3">
        <v>80.473976208137344</v>
      </c>
      <c r="AG12" s="3">
        <v>84.968664482862408</v>
      </c>
      <c r="AH12" s="3">
        <v>89.794341128753075</v>
      </c>
      <c r="AI12" s="3">
        <v>94.841626578966242</v>
      </c>
      <c r="AJ12" s="3">
        <v>100</v>
      </c>
      <c r="AK12" s="2"/>
    </row>
    <row r="13" spans="1:37" x14ac:dyDescent="0.25">
      <c r="B13" s="4" t="s">
        <v>9</v>
      </c>
      <c r="C13" s="4">
        <v>100</v>
      </c>
      <c r="AK13" s="2"/>
    </row>
    <row r="14" spans="1:37" x14ac:dyDescent="0.25">
      <c r="E14" t="s">
        <v>10</v>
      </c>
      <c r="G14" s="3">
        <f t="shared" ref="G14:AH14" si="1">G18*H14+G19</f>
        <v>280.28451209215399</v>
      </c>
      <c r="H14" s="3">
        <f t="shared" si="1"/>
        <v>260.73576311264441</v>
      </c>
      <c r="I14" s="3">
        <f t="shared" si="1"/>
        <v>241.51747131108542</v>
      </c>
      <c r="J14" s="3">
        <f t="shared" si="1"/>
        <v>222.78741419664442</v>
      </c>
      <c r="K14" s="3">
        <f t="shared" si="1"/>
        <v>204.69470412190589</v>
      </c>
      <c r="L14" s="3">
        <f t="shared" si="1"/>
        <v>187.37734377748521</v>
      </c>
      <c r="M14" s="3">
        <f t="shared" si="1"/>
        <v>170.96013071462008</v>
      </c>
      <c r="N14" s="3">
        <f t="shared" si="1"/>
        <v>155.55296157926747</v>
      </c>
      <c r="O14" s="3">
        <f t="shared" si="1"/>
        <v>141.24956633387433</v>
      </c>
      <c r="P14" s="3">
        <f t="shared" si="1"/>
        <v>128.12668177591533</v>
      </c>
      <c r="Q14" s="3">
        <f t="shared" si="1"/>
        <v>116.24365353369214</v>
      </c>
      <c r="R14" s="3">
        <f t="shared" si="1"/>
        <v>105.64243769963892</v>
      </c>
      <c r="S14" s="3">
        <f t="shared" si="1"/>
        <v>96.347958393682063</v>
      </c>
      <c r="T14" s="3">
        <f t="shared" si="1"/>
        <v>88.368766578936132</v>
      </c>
      <c r="U14" s="3">
        <f t="shared" si="1"/>
        <v>81.697938780615559</v>
      </c>
      <c r="V14" s="3">
        <f t="shared" si="1"/>
        <v>76.314152032704555</v>
      </c>
      <c r="W14" s="3">
        <f t="shared" si="1"/>
        <v>72.182873106760752</v>
      </c>
      <c r="X14" s="3">
        <f t="shared" si="1"/>
        <v>69.257605287816148</v>
      </c>
      <c r="Y14" s="3">
        <f t="shared" si="1"/>
        <v>67.481143862800991</v>
      </c>
      <c r="Z14" s="3">
        <f t="shared" si="1"/>
        <v>66.786801156572579</v>
      </c>
      <c r="AA14" s="3">
        <f t="shared" si="1"/>
        <v>67.099572430483207</v>
      </c>
      <c r="AB14" s="3">
        <f t="shared" si="1"/>
        <v>68.337224339554268</v>
      </c>
      <c r="AC14" s="3">
        <f t="shared" si="1"/>
        <v>70.411297145055215</v>
      </c>
      <c r="AD14" s="3">
        <f t="shared" si="1"/>
        <v>73.228019904484</v>
      </c>
      <c r="AE14" s="3">
        <f t="shared" si="1"/>
        <v>76.689144038853158</v>
      </c>
      <c r="AF14" s="3">
        <f t="shared" si="1"/>
        <v>80.692704871583686</v>
      </c>
      <c r="AG14" s="3">
        <f t="shared" si="1"/>
        <v>85.13372303120687</v>
      </c>
      <c r="AH14" s="3">
        <f t="shared" si="1"/>
        <v>89.904858287518977</v>
      </c>
      <c r="AI14" s="3">
        <f>AI18*AJ14+AI19</f>
        <v>94.897027861362858</v>
      </c>
      <c r="AJ14" s="3">
        <f>AJ12</f>
        <v>100</v>
      </c>
      <c r="AK14" s="2"/>
    </row>
    <row r="15" spans="1:37" x14ac:dyDescent="0.25">
      <c r="B15" t="s">
        <v>12</v>
      </c>
      <c r="C15">
        <f>C9/(C2^2)</f>
        <v>4139999.9999999991</v>
      </c>
      <c r="AK15" s="2"/>
    </row>
    <row r="16" spans="1:37" x14ac:dyDescent="0.25">
      <c r="B16" t="s">
        <v>13</v>
      </c>
      <c r="C16">
        <f>(2*C9)/(C2^2)+(C8*C7)/C4</f>
        <v>16559999.999999996</v>
      </c>
      <c r="E16" t="s">
        <v>16</v>
      </c>
      <c r="AK16" s="2"/>
    </row>
    <row r="17" spans="1:37" x14ac:dyDescent="0.25">
      <c r="B17" t="s">
        <v>14</v>
      </c>
      <c r="C17">
        <f>C15</f>
        <v>4139999.9999999991</v>
      </c>
      <c r="AK17" s="2"/>
    </row>
    <row r="18" spans="1:37" x14ac:dyDescent="0.25">
      <c r="E18" t="s">
        <v>18</v>
      </c>
      <c r="F18">
        <v>0</v>
      </c>
      <c r="G18">
        <f>$C$15/($C$16-$C$17*F18)</f>
        <v>0.25</v>
      </c>
      <c r="H18">
        <f t="shared" ref="H18:AI18" si="2">$C$15/($C$16-$C$17*G18)</f>
        <v>0.26666666666666666</v>
      </c>
      <c r="I18">
        <f t="shared" si="2"/>
        <v>0.26785714285714285</v>
      </c>
      <c r="J18">
        <f t="shared" si="2"/>
        <v>0.26794258373205743</v>
      </c>
      <c r="K18">
        <f t="shared" si="2"/>
        <v>0.26794871794871794</v>
      </c>
      <c r="L18">
        <f t="shared" si="2"/>
        <v>0.26794915836482308</v>
      </c>
      <c r="M18">
        <f t="shared" si="2"/>
        <v>0.26794918998527245</v>
      </c>
      <c r="N18">
        <f t="shared" si="2"/>
        <v>0.26794919225551855</v>
      </c>
      <c r="O18">
        <f t="shared" si="2"/>
        <v>0.26794919241851489</v>
      </c>
      <c r="P18">
        <f t="shared" si="2"/>
        <v>0.26794919243021753</v>
      </c>
      <c r="Q18">
        <f t="shared" si="2"/>
        <v>0.26794919243105775</v>
      </c>
      <c r="R18">
        <f t="shared" si="2"/>
        <v>0.26794919243111803</v>
      </c>
      <c r="S18">
        <f t="shared" si="2"/>
        <v>0.26794919243112236</v>
      </c>
      <c r="T18">
        <f t="shared" si="2"/>
        <v>0.2679491924311227</v>
      </c>
      <c r="U18">
        <f t="shared" si="2"/>
        <v>0.2679491924311227</v>
      </c>
      <c r="V18">
        <f t="shared" si="2"/>
        <v>0.2679491924311227</v>
      </c>
      <c r="W18">
        <f t="shared" si="2"/>
        <v>0.2679491924311227</v>
      </c>
      <c r="X18">
        <f t="shared" si="2"/>
        <v>0.2679491924311227</v>
      </c>
      <c r="Y18">
        <f t="shared" si="2"/>
        <v>0.2679491924311227</v>
      </c>
      <c r="Z18">
        <f t="shared" si="2"/>
        <v>0.2679491924311227</v>
      </c>
      <c r="AA18">
        <f t="shared" si="2"/>
        <v>0.2679491924311227</v>
      </c>
      <c r="AB18">
        <f t="shared" si="2"/>
        <v>0.2679491924311227</v>
      </c>
      <c r="AC18">
        <f t="shared" si="2"/>
        <v>0.2679491924311227</v>
      </c>
      <c r="AD18">
        <f t="shared" si="2"/>
        <v>0.2679491924311227</v>
      </c>
      <c r="AE18">
        <f t="shared" si="2"/>
        <v>0.2679491924311227</v>
      </c>
      <c r="AF18">
        <f t="shared" si="2"/>
        <v>0.2679491924311227</v>
      </c>
      <c r="AG18">
        <f t="shared" si="2"/>
        <v>0.2679491924311227</v>
      </c>
      <c r="AH18">
        <f t="shared" si="2"/>
        <v>0.2679491924311227</v>
      </c>
      <c r="AI18">
        <f t="shared" si="2"/>
        <v>0.2679491924311227</v>
      </c>
      <c r="AK18" s="2"/>
    </row>
    <row r="19" spans="1:37" x14ac:dyDescent="0.25">
      <c r="E19" t="s">
        <v>19</v>
      </c>
      <c r="F19">
        <f>F12</f>
        <v>300</v>
      </c>
      <c r="G19">
        <f>(F19*$C$17-G20)/($C$16-$C$17*F18)</f>
        <v>215.1005713139929</v>
      </c>
      <c r="H19">
        <f t="shared" ref="H19:AI19" si="3">(G19*$C$17-H20)/($C$16-$C$17*G18)</f>
        <v>196.33110409635498</v>
      </c>
      <c r="I19">
        <f t="shared" si="3"/>
        <v>181.84227107984137</v>
      </c>
      <c r="J19">
        <f t="shared" si="3"/>
        <v>167.94098629795192</v>
      </c>
      <c r="K19">
        <f t="shared" si="3"/>
        <v>154.48718508409254</v>
      </c>
      <c r="L19">
        <f t="shared" si="3"/>
        <v>141.56872063856261</v>
      </c>
      <c r="M19">
        <f t="shared" si="3"/>
        <v>129.27984065964515</v>
      </c>
      <c r="N19">
        <f t="shared" si="3"/>
        <v>117.70525437366356</v>
      </c>
      <c r="O19">
        <f t="shared" si="3"/>
        <v>106.91812542475377</v>
      </c>
      <c r="P19">
        <f t="shared" si="3"/>
        <v>96.979288686424511</v>
      </c>
      <c r="Q19">
        <f t="shared" si="3"/>
        <v>87.936847665625564</v>
      </c>
      <c r="R19">
        <f t="shared" si="3"/>
        <v>79.826080055664846</v>
      </c>
      <c r="S19">
        <f t="shared" si="3"/>
        <v>72.669618752721775</v>
      </c>
      <c r="T19">
        <f t="shared" si="3"/>
        <v>66.477869859382892</v>
      </c>
      <c r="U19">
        <f t="shared" si="3"/>
        <v>61.249623372386452</v>
      </c>
      <c r="V19">
        <f t="shared" si="3"/>
        <v>56.972809476389799</v>
      </c>
      <c r="W19">
        <f t="shared" si="3"/>
        <v>53.625353700176966</v>
      </c>
      <c r="X19">
        <f t="shared" si="3"/>
        <v>51.176087285450215</v>
      </c>
      <c r="Y19">
        <f t="shared" si="3"/>
        <v>49.585674427839393</v>
      </c>
      <c r="Z19">
        <f t="shared" si="3"/>
        <v>48.807524911350974</v>
      </c>
      <c r="AA19">
        <f t="shared" si="3"/>
        <v>48.788668355715174</v>
      </c>
      <c r="AB19">
        <f t="shared" si="3"/>
        <v>49.470574131508911</v>
      </c>
      <c r="AC19">
        <f t="shared" si="3"/>
        <v>50.789908348318555</v>
      </c>
      <c r="AD19">
        <f t="shared" si="3"/>
        <v>52.679225691039257</v>
      </c>
      <c r="AE19">
        <f t="shared" si="3"/>
        <v>55.067598933429394</v>
      </c>
      <c r="AF19">
        <f t="shared" si="3"/>
        <v>57.881192536716931</v>
      </c>
      <c r="AG19">
        <f t="shared" si="3"/>
        <v>61.043788857431636</v>
      </c>
      <c r="AH19">
        <f t="shared" si="3"/>
        <v>64.477276307953048</v>
      </c>
      <c r="AI19">
        <f t="shared" si="3"/>
        <v>68.102108618250597</v>
      </c>
      <c r="AK19" s="2"/>
    </row>
    <row r="20" spans="1:37" x14ac:dyDescent="0.25">
      <c r="E20" t="s">
        <v>17</v>
      </c>
      <c r="F20">
        <f>-(($C$8*$C$7)/$C$4)*F12</f>
        <v>-2483999999.9999995</v>
      </c>
      <c r="G20">
        <f t="shared" ref="G20:AI20" si="4">-(($C$8*$C$7)/$C$4)*G12</f>
        <v>-2320065460.9597216</v>
      </c>
      <c r="H20">
        <f t="shared" si="4"/>
        <v>-2157524025.8559794</v>
      </c>
      <c r="I20">
        <f t="shared" si="4"/>
        <v>-1997743370.8511181</v>
      </c>
      <c r="J20">
        <f t="shared" si="4"/>
        <v>-1842041172.8038473</v>
      </c>
      <c r="K20">
        <f t="shared" si="4"/>
        <v>-1691662202.2458646</v>
      </c>
      <c r="L20">
        <f t="shared" si="4"/>
        <v>-1547757796.7319372</v>
      </c>
      <c r="M20">
        <f t="shared" si="4"/>
        <v>-1411368300.4571521</v>
      </c>
      <c r="N20">
        <f t="shared" si="4"/>
        <v>-1283408897.9719024</v>
      </c>
      <c r="O20">
        <f t="shared" si="4"/>
        <v>-1164659094.9985018</v>
      </c>
      <c r="P20">
        <f t="shared" si="4"/>
        <v>-1055755919.9574324</v>
      </c>
      <c r="Q20">
        <f t="shared" si="4"/>
        <v>-957190747.88914692</v>
      </c>
      <c r="R20">
        <f t="shared" si="4"/>
        <v>-869309494.92669106</v>
      </c>
      <c r="S20">
        <f t="shared" si="4"/>
        <v>-792315805.28607416</v>
      </c>
      <c r="T20">
        <f t="shared" si="4"/>
        <v>-726276760.24559009</v>
      </c>
      <c r="U20">
        <f t="shared" si="4"/>
        <v>-671130583.15480101</v>
      </c>
      <c r="V20">
        <f t="shared" si="4"/>
        <v>-626695796.44784915</v>
      </c>
      <c r="W20">
        <f t="shared" si="4"/>
        <v>-592681303.34100235</v>
      </c>
      <c r="X20">
        <f t="shared" si="4"/>
        <v>-568696913.31224966</v>
      </c>
      <c r="Y20">
        <f t="shared" si="4"/>
        <v>-554263899.6882149</v>
      </c>
      <c r="Z20">
        <f t="shared" si="4"/>
        <v>-548825261.69864511</v>
      </c>
      <c r="AA20">
        <f t="shared" si="4"/>
        <v>-551755453.89483654</v>
      </c>
      <c r="AB20">
        <f t="shared" si="4"/>
        <v>-562369435.02028954</v>
      </c>
      <c r="AC20">
        <f t="shared" si="4"/>
        <v>-579930969.55179584</v>
      </c>
      <c r="AD20">
        <f t="shared" si="4"/>
        <v>-603660183.11687434</v>
      </c>
      <c r="AE20">
        <f t="shared" si="4"/>
        <v>-632740424.71048796</v>
      </c>
      <c r="AF20">
        <f t="shared" si="4"/>
        <v>-666324523.00337708</v>
      </c>
      <c r="AG20">
        <f t="shared" si="4"/>
        <v>-703540541.91810071</v>
      </c>
      <c r="AH20">
        <f t="shared" si="4"/>
        <v>-743497144.54607534</v>
      </c>
      <c r="AI20">
        <f t="shared" si="4"/>
        <v>-785288668.07384038</v>
      </c>
      <c r="AK20" s="2"/>
    </row>
    <row r="21" spans="1:37" x14ac:dyDescent="0.25">
      <c r="AK21" s="2"/>
    </row>
    <row r="22" spans="1:37" x14ac:dyDescent="0.25">
      <c r="AK22" s="2"/>
    </row>
    <row r="23" spans="1:37" x14ac:dyDescent="0.25">
      <c r="AK23" s="2"/>
    </row>
    <row r="24" spans="1:3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1:3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1:3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1:3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</row>
    <row r="28" spans="1:3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</row>
    <row r="29" spans="1:3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</row>
    <row r="30" spans="1:3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</row>
    <row r="31" spans="1:37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</row>
    <row r="32" spans="1:3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</row>
    <row r="33" spans="1:37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</row>
    <row r="34" spans="1:3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</row>
    <row r="35" spans="1:37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</row>
    <row r="36" spans="1:37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</row>
    <row r="37" spans="1:37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</row>
    <row r="38" spans="1:37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</row>
    <row r="39" spans="1:37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2021-10-19T10:42:43Z</dcterms:modified>
</cp:coreProperties>
</file>